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F Website\Visa_Management_System\"/>
    </mc:Choice>
  </mc:AlternateContent>
  <xr:revisionPtr revIDLastSave="0" documentId="8_{E9841AEC-62E7-46C4-A52E-5B3099008E82}" xr6:coauthVersionLast="47" xr6:coauthVersionMax="47" xr10:uidLastSave="{00000000-0000-0000-0000-000000000000}"/>
  <bookViews>
    <workbookView xWindow="-120" yWindow="-120" windowWidth="20730" windowHeight="11160" xr2:uid="{2DB5DD86-A159-4ED2-942F-977F6DFB6E65}"/>
  </bookViews>
  <sheets>
    <sheet name="Dashboard" sheetId="1" r:id="rId1"/>
    <sheet name="Clients" sheetId="2" r:id="rId2"/>
    <sheet name="Documents" sheetId="3" r:id="rId3"/>
    <sheet name="Visa_Process" sheetId="4" r:id="rId4"/>
    <sheet name="Payments" sheetId="5" r:id="rId5"/>
    <sheet name="Consultants" sheetId="6" r:id="rId6"/>
  </sheets>
  <definedNames>
    <definedName name="ListClientIDs">tblClients[Client 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1" l="1"/>
  <c r="F7" i="1"/>
  <c r="F4" i="5"/>
  <c r="E4" i="5"/>
  <c r="B4" i="5"/>
  <c r="C4" i="4"/>
  <c r="B4" i="4"/>
  <c r="I4" i="3"/>
  <c r="C4" i="3"/>
  <c r="B4" i="3"/>
</calcChain>
</file>

<file path=xl/sharedStrings.xml><?xml version="1.0" encoding="utf-8"?>
<sst xmlns="http://schemas.openxmlformats.org/spreadsheetml/2006/main" count="56" uniqueCount="45">
  <si>
    <t>JF VISA CONSULTANCY</t>
  </si>
  <si>
    <t>Management Software v2</t>
  </si>
  <si>
    <t xml:space="preserve">Please Manage: </t>
  </si>
  <si>
    <t>CLIENTS DATABASE</t>
  </si>
  <si>
    <t>DOCUMENT CHECKLIST</t>
  </si>
  <si>
    <t>VISA PROCESS</t>
  </si>
  <si>
    <t>PAYMENTS</t>
  </si>
  <si>
    <t>FOLLOW UPS</t>
  </si>
  <si>
    <t>CONSULTANTS</t>
  </si>
  <si>
    <t>â¬… BACK TO DASHBOARD</t>
  </si>
  <si>
    <t>Client ID</t>
  </si>
  <si>
    <t>Full Name</t>
  </si>
  <si>
    <t>Father Name</t>
  </si>
  <si>
    <t>CNIC</t>
  </si>
  <si>
    <t>Passport</t>
  </si>
  <si>
    <t>Mobile</t>
  </si>
  <si>
    <t>Visa Type</t>
  </si>
  <si>
    <t>Status</t>
  </si>
  <si>
    <t>Remarks</t>
  </si>
  <si>
    <t>JF-001</t>
  </si>
  <si>
    <t>Sample Client</t>
  </si>
  <si>
    <t>USA Visit</t>
  </si>
  <si>
    <t>New</t>
  </si>
  <si>
    <t>Client Name (Auto)</t>
  </si>
  <si>
    <t>Visa Type (Auto)</t>
  </si>
  <si>
    <t>Photos</t>
  </si>
  <si>
    <t>Statement</t>
  </si>
  <si>
    <t>Police Cert</t>
  </si>
  <si>
    <t>Client Name</t>
  </si>
  <si>
    <t>Applying For</t>
  </si>
  <si>
    <t>Embassy</t>
  </si>
  <si>
    <t>App Date</t>
  </si>
  <si>
    <t>Result</t>
  </si>
  <si>
    <t>Notes</t>
  </si>
  <si>
    <t>Total Fee</t>
  </si>
  <si>
    <t>Paid Amount</t>
  </si>
  <si>
    <t>Balance</t>
  </si>
  <si>
    <t>Pay Status</t>
  </si>
  <si>
    <t>Method</t>
  </si>
  <si>
    <t>Date</t>
  </si>
  <si>
    <t>Consultant Name</t>
  </si>
  <si>
    <t>Total Cases</t>
  </si>
  <si>
    <t>Revenue</t>
  </si>
  <si>
    <t>ACTIVE CLIENTS</t>
  </si>
  <si>
    <t>PENDING VISAS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</si>
</sst>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4"/>
      <color rgb="FF1F4E7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rgb="FFFFFFFF"/>
      <name val="Aptos Narrow"/>
      <family val="2"/>
      <scheme val="minor"/>
    </font>
    <font>
      <b/>
      <u/>
      <sz val="11"/>
      <color rgb="FF1F4E78"/>
      <name val="Aptos Narrow"/>
      <family val="2"/>
      <scheme val="minor"/>
    </font>
    <font>
      <sz val="3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2" borderId="0" xfId="1" applyFont="1" applyFill="1" applyAlignment="1">
      <alignment horizontal="center"/>
    </xf>
    <xf numFmtId="0" fontId="4" fillId="0" borderId="0" xfId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23FDDC-6F68-4483-AFAB-5DEA038EE035}" name="tblClients" displayName="tblClients" ref="A3:I4" totalsRowShown="0">
  <autoFilter ref="A3:I4" xr:uid="{9E23FDDC-6F68-4483-AFAB-5DEA038EE035}"/>
  <tableColumns count="9">
    <tableColumn id="1" xr3:uid="{AD822479-2039-487F-A0F0-E7F3208BB50D}" name="Client ID"/>
    <tableColumn id="2" xr3:uid="{308F7674-0B53-42C8-BCFA-44039FE400C6}" name="Full Name"/>
    <tableColumn id="3" xr3:uid="{295BDE72-437A-43BA-8538-584A0DF2B80F}" name="Father Name"/>
    <tableColumn id="4" xr3:uid="{B8C2BEE7-685D-4087-8308-800A627853F7}" name="CNIC"/>
    <tableColumn id="5" xr3:uid="{1B10ACFD-A0B5-4D41-8228-CB7D3035D7FD}" name="Passport"/>
    <tableColumn id="6" xr3:uid="{4418DFB9-5605-4F82-A913-AA14CC636A2F}" name="Mobile"/>
    <tableColumn id="7" xr3:uid="{59F9C917-DED5-42BF-BF82-6F679D9751C3}" name="Visa Type"/>
    <tableColumn id="8" xr3:uid="{807083C3-E301-4023-A7BD-6B8E1612F7BE}" name="Status"/>
    <tableColumn id="9" xr3:uid="{0C889F9A-7EC8-44E3-BDD5-F70CDD94DE31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38789E-749D-46D3-BB84-694F970D8608}" name="tblDocs" displayName="tblDocs" ref="A3:I4" totalsRowShown="0">
  <autoFilter ref="A3:I4" xr:uid="{E938789E-749D-46D3-BB84-694F970D8608}"/>
  <tableColumns count="9">
    <tableColumn id="1" xr3:uid="{8ADDEFB7-7C3E-4A88-B79B-2E9C4BA6FFE8}" name="Client ID"/>
    <tableColumn id="2" xr3:uid="{256052D9-0EE2-4FE8-8966-563689AD8512}" name="Client Name (Auto)">
      <calculatedColumnFormula>IFERROR(VLOOKUP(tblDocs[[#This Row],[Client ID]], tblClients[], 2, FALSE), "")</calculatedColumnFormula>
    </tableColumn>
    <tableColumn id="3" xr3:uid="{AEEFA887-37D6-4E48-B4FC-31776A0CFDAF}" name="Visa Type (Auto)">
      <calculatedColumnFormula>IFERROR(VLOOKUP(tblDocs[[#This Row],[Client ID]], tblClients[], 7, FALSE), "")</calculatedColumnFormula>
    </tableColumn>
    <tableColumn id="4" xr3:uid="{1D8BEAB7-FCAF-4B69-A73B-601B352FD564}" name="Passport"/>
    <tableColumn id="5" xr3:uid="{7C9668B6-E6DA-469F-80A2-2492F29F44E3}" name="Photos"/>
    <tableColumn id="6" xr3:uid="{F3D6B50F-BF3B-4695-84E5-13B59787FFC6}" name="CNIC"/>
    <tableColumn id="7" xr3:uid="{B053788D-A1E6-4659-B287-0E955E90F936}" name="Statement"/>
    <tableColumn id="8" xr3:uid="{CCF7CF93-12C6-4283-8F20-1F86B448C332}" name="Police Cert"/>
    <tableColumn id="9" xr3:uid="{36DFF020-37E6-4A4E-BD21-56932941C211}" name="Status">
      <calculatedColumnFormula>IF(COUNTIF(tblDocs[[#This Row],[Passport]:[Police Cert]], "No")&gt;0, "Incomplete", "Complete")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6123AF-D705-49A8-BD0E-E623B1C9786B}" name="tblVisa" displayName="tblVisa" ref="A3:G4" totalsRowShown="0">
  <autoFilter ref="A3:G4" xr:uid="{7A6123AF-D705-49A8-BD0E-E623B1C9786B}"/>
  <tableColumns count="7">
    <tableColumn id="1" xr3:uid="{E3E6C215-0A55-4D58-896E-DF980F2EE361}" name="Client ID"/>
    <tableColumn id="2" xr3:uid="{C0554917-1FD8-4F7C-AF55-F441B6078221}" name="Client Name">
      <calculatedColumnFormula>IFERROR(VLOOKUP(tblVisa[[#This Row],[Client ID]], tblClients[], 2, FALSE), "")</calculatedColumnFormula>
    </tableColumn>
    <tableColumn id="3" xr3:uid="{15C762F5-39F5-45C4-8491-550A55A0C34A}" name="Applying For">
      <calculatedColumnFormula>IFERROR(VLOOKUP(tblVisa[[#This Row],[Client ID]], tblClients[], 7, FALSE), "")</calculatedColumnFormula>
    </tableColumn>
    <tableColumn id="4" xr3:uid="{1D6CE564-9A20-44D4-89D0-9238002CD4A0}" name="Embassy"/>
    <tableColumn id="5" xr3:uid="{439B5900-5B85-4E2E-A2BB-3F3E902ABDCB}" name="App Date"/>
    <tableColumn id="6" xr3:uid="{4C52381A-C035-40CE-81F5-2F321FEFC342}" name="Result"/>
    <tableColumn id="7" xr3:uid="{B6D4F934-614E-4F84-9834-CBBB2B938C6A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4BF0CF-2482-4438-BE14-6C6518E854CE}" name="tblPay" displayName="tblPay" ref="A3:H4" totalsRowShown="0">
  <autoFilter ref="A3:H4" xr:uid="{784BF0CF-2482-4438-BE14-6C6518E854CE}"/>
  <tableColumns count="8">
    <tableColumn id="1" xr3:uid="{81A0B1A6-6D1F-4288-A596-A452029D3A6C}" name="Client ID"/>
    <tableColumn id="2" xr3:uid="{1DD89624-9012-4D50-B6D2-A1D4F1E39551}" name="Client Name">
      <calculatedColumnFormula>IFERROR(VLOOKUP(tblPay[[#This Row],[Client ID]], tblClients[], 2, FALSE), "")</calculatedColumnFormula>
    </tableColumn>
    <tableColumn id="3" xr3:uid="{CE1F71E7-4552-48FB-995E-7A7AEBA3814C}" name="Total Fee"/>
    <tableColumn id="4" xr3:uid="{3C2BF9E1-2ED5-4F45-9372-2F383367690C}" name="Paid Amount"/>
    <tableColumn id="5" xr3:uid="{390205FE-9C98-47F9-94F0-9CFB52B555B1}" name="Balance">
      <calculatedColumnFormula>tblPay[[#This Row],[Total Fee]]-tblPay[[#This Row],[Paid Amount]]</calculatedColumnFormula>
    </tableColumn>
    <tableColumn id="6" xr3:uid="{7B1C7863-E991-4707-84FE-9FE4EA28F3F2}" name="Pay Status">
      <calculatedColumnFormula>IF(tblPay[[#This Row],[Total Fee]]="", "", IF(tblPay[[#This Row],[Balance]]&lt;=0, "Paid", IF(tblPay[[#This Row],[Paid Amount]]&gt;0, "Partial", "Pending")))</calculatedColumnFormula>
    </tableColumn>
    <tableColumn id="7" xr3:uid="{8B8DCE7B-EA54-4F12-81B9-CFEF0E95CD2C}" name="Method"/>
    <tableColumn id="8" xr3:uid="{207F86A1-2949-4609-B058-B36C3D838C23}" name="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2E4B44-02B4-4BC9-9F36-3CC4702F5CFA}" name="tblCons" displayName="tblCons" ref="A3:C4" insertRow="1" totalsRowShown="0">
  <autoFilter ref="A3:C4" xr:uid="{B62E4B44-02B4-4BC9-9F36-3CC4702F5CFA}"/>
  <tableColumns count="3">
    <tableColumn id="1" xr3:uid="{86120BCB-AED7-4E97-8ACE-4EA008647939}" name="Consultant Name"/>
    <tableColumn id="2" xr3:uid="{20D7C5AF-B017-42E1-AB81-1F7663E5D298}" name="Total Cases"/>
    <tableColumn id="3" xr3:uid="{D46069DB-505F-44B6-925C-A394FBD230D5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04BE-5916-4521-BE01-11C5266A7496}">
  <sheetPr>
    <tabColor rgb="FF1F4E78"/>
  </sheetPr>
  <dimension ref="B2:I16"/>
  <sheetViews>
    <sheetView showGridLines="0" tabSelected="1" workbookViewId="0"/>
  </sheetViews>
  <sheetFormatPr defaultRowHeight="15" x14ac:dyDescent="0.25"/>
  <cols>
    <col min="2" max="2" width="30.7109375" customWidth="1"/>
  </cols>
  <sheetData>
    <row r="2" spans="2:9" ht="31.5" x14ac:dyDescent="0.5">
      <c r="B2" s="1" t="s">
        <v>0</v>
      </c>
    </row>
    <row r="3" spans="2:9" x14ac:dyDescent="0.25">
      <c r="B3" t="s">
        <v>1</v>
      </c>
    </row>
    <row r="5" spans="2:9" x14ac:dyDescent="0.25">
      <c r="B5" t="s">
        <v>2</v>
      </c>
    </row>
    <row r="6" spans="2:9" ht="30" customHeight="1" x14ac:dyDescent="0.25">
      <c r="B6" s="2" t="s">
        <v>3</v>
      </c>
      <c r="F6" t="s">
        <v>43</v>
      </c>
      <c r="I6" t="s">
        <v>44</v>
      </c>
    </row>
    <row r="7" spans="2:9" ht="39" x14ac:dyDescent="0.6">
      <c r="F7" s="4">
        <f>COUNTA(tblClients[Client ID])</f>
        <v>1</v>
      </c>
      <c r="I7" s="4">
        <f>COUNTIF(tblVisa[Result], "Pending")</f>
        <v>0</v>
      </c>
    </row>
    <row r="8" spans="2:9" ht="30" customHeight="1" x14ac:dyDescent="0.25">
      <c r="B8" s="2" t="s">
        <v>4</v>
      </c>
    </row>
    <row r="10" spans="2:9" ht="30" customHeight="1" x14ac:dyDescent="0.25">
      <c r="B10" s="2" t="s">
        <v>5</v>
      </c>
    </row>
    <row r="12" spans="2:9" ht="30" customHeight="1" x14ac:dyDescent="0.25">
      <c r="B12" s="2" t="s">
        <v>6</v>
      </c>
    </row>
    <row r="14" spans="2:9" ht="30" customHeight="1" x14ac:dyDescent="0.25">
      <c r="B14" s="2" t="s">
        <v>7</v>
      </c>
    </row>
    <row r="16" spans="2:9" ht="30" customHeight="1" x14ac:dyDescent="0.25">
      <c r="B16" s="2" t="s">
        <v>8</v>
      </c>
    </row>
  </sheetData>
  <hyperlinks>
    <hyperlink ref="B6" location="'Clients'!A1" display="'Clients'!A1" xr:uid="{9C62D835-54B3-4CCB-A6C1-CBD6AE74E6DA}"/>
    <hyperlink ref="B8" location="'Documents'!A1" display="'Documents'!A1" xr:uid="{A3AE1F2D-E158-4C42-8802-319E138A01D3}"/>
    <hyperlink ref="B10" location="'Visa_Process'!A1" display="'Visa_Process'!A1" xr:uid="{39202F89-DA3D-418F-B805-2D8FF898B9E3}"/>
    <hyperlink ref="B12" location="'Payments'!A1" display="'Payments'!A1" xr:uid="{6757DB47-2603-400C-8DBE-25E4BE9C860D}"/>
    <hyperlink ref="B14" location="'Follow_Up'!A1" display="'Follow_Up'!A1" xr:uid="{1953988C-4A27-42BA-BEBA-C370594279B4}"/>
    <hyperlink ref="B16" location="'Consultants'!A1" display="'Consultants'!A1" xr:uid="{2DB2B232-D2FD-4764-A142-9DB30A6C71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BB38-FFA3-43A0-84BE-A4AD48B56C9A}">
  <dimension ref="A1:I4"/>
  <sheetViews>
    <sheetView showGridLines="0" workbookViewId="0"/>
  </sheetViews>
  <sheetFormatPr defaultRowHeight="15" x14ac:dyDescent="0.25"/>
  <cols>
    <col min="1" max="1" width="25.28515625" bestFit="1" customWidth="1"/>
    <col min="2" max="2" width="13.140625" bestFit="1" customWidth="1"/>
    <col min="3" max="3" width="14.7109375" bestFit="1" customWidth="1"/>
    <col min="4" max="4" width="8.140625" bestFit="1" customWidth="1"/>
    <col min="5" max="5" width="11.140625" bestFit="1" customWidth="1"/>
    <col min="6" max="6" width="9.42578125" bestFit="1" customWidth="1"/>
    <col min="7" max="7" width="11.7109375" bestFit="1" customWidth="1"/>
    <col min="8" max="8" width="9" bestFit="1" customWidth="1"/>
    <col min="9" max="9" width="11.140625" bestFit="1" customWidth="1"/>
  </cols>
  <sheetData>
    <row r="1" spans="1:9" x14ac:dyDescent="0.25">
      <c r="A1" s="3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20</v>
      </c>
      <c r="G4" t="s">
        <v>21</v>
      </c>
      <c r="H4" t="s">
        <v>22</v>
      </c>
    </row>
  </sheetData>
  <hyperlinks>
    <hyperlink ref="A1" location="'Dashboard'!A1" display="'Dashboard'!A1" xr:uid="{C4F155E8-A73F-4D6F-A87A-B7D91097E2E1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4B92-A814-4E56-B496-DB2C068B9FC7}">
  <dimension ref="A1:I4"/>
  <sheetViews>
    <sheetView showGridLines="0" workbookViewId="0"/>
  </sheetViews>
  <sheetFormatPr defaultRowHeight="15" x14ac:dyDescent="0.25"/>
  <cols>
    <col min="1" max="1" width="25.28515625" bestFit="1" customWidth="1"/>
    <col min="2" max="2" width="20.85546875" bestFit="1" customWidth="1"/>
    <col min="3" max="3" width="17.85546875" bestFit="1" customWidth="1"/>
    <col min="4" max="4" width="11.140625" bestFit="1" customWidth="1"/>
    <col min="5" max="5" width="9.5703125" bestFit="1" customWidth="1"/>
    <col min="6" max="6" width="8.140625" bestFit="1" customWidth="1"/>
    <col min="7" max="7" width="12.7109375" bestFit="1" customWidth="1"/>
    <col min="8" max="8" width="13.28515625" bestFit="1" customWidth="1"/>
    <col min="9" max="9" width="9.28515625" bestFit="1" customWidth="1"/>
  </cols>
  <sheetData>
    <row r="1" spans="1:9" x14ac:dyDescent="0.25">
      <c r="A1" s="3" t="s">
        <v>9</v>
      </c>
    </row>
    <row r="3" spans="1:9" x14ac:dyDescent="0.25">
      <c r="A3" t="s">
        <v>10</v>
      </c>
      <c r="B3" t="s">
        <v>23</v>
      </c>
      <c r="C3" t="s">
        <v>24</v>
      </c>
      <c r="D3" t="s">
        <v>14</v>
      </c>
      <c r="E3" t="s">
        <v>25</v>
      </c>
      <c r="F3" t="s">
        <v>13</v>
      </c>
      <c r="G3" t="s">
        <v>26</v>
      </c>
      <c r="H3" t="s">
        <v>27</v>
      </c>
      <c r="I3" t="s">
        <v>17</v>
      </c>
    </row>
    <row r="4" spans="1:9" x14ac:dyDescent="0.25">
      <c r="B4" t="str">
        <f>IFERROR(VLOOKUP(tblDocs[[#This Row],[Client ID]], tblClients[], 2, FALSE), "")</f>
        <v/>
      </c>
      <c r="C4" t="str">
        <f>IFERROR(VLOOKUP(tblDocs[[#This Row],[Client ID]], tblClients[], 7, FALSE), "")</f>
        <v/>
      </c>
      <c r="I4" t="str">
        <f>IF(COUNTIF(tblDocs[[#This Row],[Passport]:[Police Cert]], "No")&gt;0, "Incomplete", "Complete")</f>
        <v>Complete</v>
      </c>
    </row>
  </sheetData>
  <dataValidations count="1">
    <dataValidation type="list" allowBlank="1" showInputMessage="1" showErrorMessage="1" sqref="A4:A1000" xr:uid="{4F075401-D660-4D8A-96F4-873BA24D4A44}">
      <formula1>ListClientIDs</formula1>
    </dataValidation>
  </dataValidations>
  <hyperlinks>
    <hyperlink ref="A1" location="'Dashboard'!A1" display="'Dashboard'!A1" xr:uid="{838307C9-ABD0-4A34-A6E5-F6B56E199725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9588-33A2-4BE3-AF73-1E312AA1B89B}">
  <dimension ref="A1:G4"/>
  <sheetViews>
    <sheetView showGridLines="0" workbookViewId="0"/>
  </sheetViews>
  <sheetFormatPr defaultRowHeight="15" x14ac:dyDescent="0.25"/>
  <cols>
    <col min="1" max="1" width="25.28515625" bestFit="1" customWidth="1"/>
    <col min="2" max="2" width="14.5703125" bestFit="1" customWidth="1"/>
    <col min="3" max="3" width="14.28515625" bestFit="1" customWidth="1"/>
    <col min="4" max="4" width="11.28515625" bestFit="1" customWidth="1"/>
    <col min="5" max="5" width="11.42578125" bestFit="1" customWidth="1"/>
    <col min="7" max="7" width="8.7109375" bestFit="1" customWidth="1"/>
  </cols>
  <sheetData>
    <row r="1" spans="1:7" x14ac:dyDescent="0.25">
      <c r="A1" s="3" t="s">
        <v>9</v>
      </c>
    </row>
    <row r="3" spans="1:7" x14ac:dyDescent="0.25">
      <c r="A3" t="s">
        <v>10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</row>
    <row r="4" spans="1:7" x14ac:dyDescent="0.25">
      <c r="B4" t="str">
        <f>IFERROR(VLOOKUP(tblVisa[[#This Row],[Client ID]], tblClients[], 2, FALSE), "")</f>
        <v/>
      </c>
      <c r="C4" t="str">
        <f>IFERROR(VLOOKUP(tblVisa[[#This Row],[Client ID]], tblClients[], 7, FALSE), "")</f>
        <v/>
      </c>
    </row>
  </sheetData>
  <dataValidations count="2">
    <dataValidation type="list" allowBlank="1" showInputMessage="1" showErrorMessage="1" sqref="A4:A1000" xr:uid="{BF361BE0-7EC8-46D9-9F3A-3919F6128D76}">
      <formula1>ListClientIDs</formula1>
    </dataValidation>
    <dataValidation type="list" allowBlank="1" showInputMessage="1" showErrorMessage="1" sqref="F4:F1000" xr:uid="{1A642186-09F2-4E69-9E9A-67D7055B4BE3}">
      <formula1>"Approved,Refused,Pending"</formula1>
    </dataValidation>
  </dataValidations>
  <hyperlinks>
    <hyperlink ref="A1" location="'Dashboard'!A1" display="'Dashboard'!A1" xr:uid="{E52E5880-5E98-412C-BCDC-34463351A35B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14CA-5C66-46BE-9640-C6C20F1F8FE2}">
  <dimension ref="A1:H4"/>
  <sheetViews>
    <sheetView showGridLines="0" workbookViewId="0"/>
  </sheetViews>
  <sheetFormatPr defaultRowHeight="15" x14ac:dyDescent="0.25"/>
  <cols>
    <col min="1" max="1" width="25.28515625" bestFit="1" customWidth="1"/>
    <col min="2" max="2" width="14.5703125" bestFit="1" customWidth="1"/>
    <col min="3" max="3" width="11.42578125" bestFit="1" customWidth="1"/>
    <col min="4" max="4" width="14.5703125" bestFit="1" customWidth="1"/>
    <col min="5" max="5" width="10.28515625" bestFit="1" customWidth="1"/>
    <col min="6" max="6" width="12.5703125" bestFit="1" customWidth="1"/>
    <col min="7" max="7" width="10.140625" bestFit="1" customWidth="1"/>
    <col min="8" max="8" width="7.5703125" bestFit="1" customWidth="1"/>
  </cols>
  <sheetData>
    <row r="1" spans="1:8" x14ac:dyDescent="0.25">
      <c r="A1" s="3" t="s">
        <v>9</v>
      </c>
    </row>
    <row r="3" spans="1:8" x14ac:dyDescent="0.25">
      <c r="A3" t="s">
        <v>10</v>
      </c>
      <c r="B3" t="s">
        <v>28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</row>
    <row r="4" spans="1:8" x14ac:dyDescent="0.25">
      <c r="B4" t="str">
        <f>IFERROR(VLOOKUP(tblPay[[#This Row],[Client ID]], tblClients[], 2, FALSE), "")</f>
        <v/>
      </c>
      <c r="E4">
        <f>tblPay[[#This Row],[Total Fee]]-tblPay[[#This Row],[Paid Amount]]</f>
        <v>0</v>
      </c>
      <c r="F4" t="str">
        <f>IF(tblPay[[#This Row],[Total Fee]]="", "", IF(tblPay[[#This Row],[Balance]]&lt;=0, "Paid", IF(tblPay[[#This Row],[Paid Amount]]&gt;0, "Partial", "Pending")))</f>
        <v/>
      </c>
    </row>
  </sheetData>
  <dataValidations count="1">
    <dataValidation type="list" allowBlank="1" showInputMessage="1" showErrorMessage="1" sqref="A4:A1000" xr:uid="{259B213F-EDAB-4F67-AD85-0E3F46CD8B55}">
      <formula1>ListClientIDs</formula1>
    </dataValidation>
  </dataValidations>
  <hyperlinks>
    <hyperlink ref="A1" location="'Dashboard'!A1" display="'Dashboard'!A1" xr:uid="{388E10EB-DF54-4730-B47A-365DCC4671C2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CD33-2DA6-4F47-8EC9-ED6C93FE98EB}">
  <dimension ref="A1:C3"/>
  <sheetViews>
    <sheetView showGridLines="0" workbookViewId="0"/>
  </sheetViews>
  <sheetFormatPr defaultRowHeight="15" x14ac:dyDescent="0.25"/>
  <cols>
    <col min="1" max="1" width="25.28515625" bestFit="1" customWidth="1"/>
    <col min="2" max="2" width="13.7109375" bestFit="1" customWidth="1"/>
    <col min="3" max="3" width="11.28515625" bestFit="1" customWidth="1"/>
  </cols>
  <sheetData>
    <row r="1" spans="1:3" x14ac:dyDescent="0.25">
      <c r="A1" s="3" t="s">
        <v>9</v>
      </c>
    </row>
    <row r="3" spans="1:3" x14ac:dyDescent="0.25">
      <c r="A3" t="s">
        <v>40</v>
      </c>
      <c r="B3" t="s">
        <v>41</v>
      </c>
      <c r="C3" t="s">
        <v>42</v>
      </c>
    </row>
  </sheetData>
  <hyperlinks>
    <hyperlink ref="A1" location="'Dashboard'!A1" display="'Dashboard'!A1" xr:uid="{D91F15FD-7A4E-45FD-99B4-1A70FC287CA0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Clients</vt:lpstr>
      <vt:lpstr>Documents</vt:lpstr>
      <vt:lpstr>Visa_Process</vt:lpstr>
      <vt:lpstr>Payments</vt:lpstr>
      <vt:lpstr>Consultants</vt:lpstr>
      <vt:lpstr>ListClientIDs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Computer</dc:creator>
  <cp:lastModifiedBy>A S Computer</cp:lastModifiedBy>
  <dcterms:created xsi:type="dcterms:W3CDTF">2026-01-31T10:40:57Z</dcterms:created>
  <dcterms:modified xsi:type="dcterms:W3CDTF">2026-01-31T10:41:06Z</dcterms:modified>
</cp:coreProperties>
</file>