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F Website\Visa_Management_System\"/>
    </mc:Choice>
  </mc:AlternateContent>
  <xr:revisionPtr revIDLastSave="0" documentId="8_{AB5C0E13-33C1-4C02-AA22-6ABA31FA69E2}" xr6:coauthVersionLast="47" xr6:coauthVersionMax="47" xr10:uidLastSave="{00000000-0000-0000-0000-000000000000}"/>
  <bookViews>
    <workbookView xWindow="135" yWindow="135" windowWidth="17640" windowHeight="8775" firstSheet="2" activeTab="6" xr2:uid="{8AC34CB4-B83A-4719-AC81-EE5C5AD10058}"/>
  </bookViews>
  <sheets>
    <sheet name="Clients" sheetId="1" r:id="rId1"/>
    <sheet name="Documents" sheetId="2" r:id="rId2"/>
    <sheet name="Visa_Process" sheetId="3" r:id="rId3"/>
    <sheet name="Payments" sheetId="4" r:id="rId4"/>
    <sheet name="Follow_Up" sheetId="5" r:id="rId5"/>
    <sheet name="Consultants" sheetId="6" r:id="rId6"/>
    <sheet name="Dashboar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7" l="1"/>
  <c r="F5" i="7"/>
  <c r="D5" i="7"/>
  <c r="B5" i="7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F2" i="6"/>
  <c r="E2" i="6"/>
  <c r="D2" i="6"/>
  <c r="C2" i="6"/>
  <c r="B2" i="6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sharedStrings.xml><?xml version="1.0" encoding="utf-8"?>
<sst xmlns="http://schemas.openxmlformats.org/spreadsheetml/2006/main" count="76" uniqueCount="66">
  <si>
    <t>Client ID</t>
  </si>
  <si>
    <t>Client Full Name</t>
  </si>
  <si>
    <t>Father / Spouse Name</t>
  </si>
  <si>
    <t>CNIC Number</t>
  </si>
  <si>
    <t>Passport Number</t>
  </si>
  <si>
    <t>Nationality</t>
  </si>
  <si>
    <t>Mobile Number</t>
  </si>
  <si>
    <t>WhatsApp Number</t>
  </si>
  <si>
    <t>Email Address</t>
  </si>
  <si>
    <t>City</t>
  </si>
  <si>
    <t>Country Applying For</t>
  </si>
  <si>
    <t>Visa Type</t>
  </si>
  <si>
    <t>Assigned Consultant</t>
  </si>
  <si>
    <t>Client Source</t>
  </si>
  <si>
    <t>Date of First Contact</t>
  </si>
  <si>
    <t>Current Status</t>
  </si>
  <si>
    <t>Remarks</t>
  </si>
  <si>
    <t>JF-001</t>
  </si>
  <si>
    <t>Passport</t>
  </si>
  <si>
    <t>Photograph 2x2</t>
  </si>
  <si>
    <t>CNIC</t>
  </si>
  <si>
    <t>Parents CNIC</t>
  </si>
  <si>
    <t>Spouse CNIC</t>
  </si>
  <si>
    <t>Educational Docs</t>
  </si>
  <si>
    <t>Professional Proof</t>
  </si>
  <si>
    <t>Financial Proof</t>
  </si>
  <si>
    <t>FRC</t>
  </si>
  <si>
    <t>MRC</t>
  </si>
  <si>
    <t>Police Clearance</t>
  </si>
  <si>
    <t>Invitation Letter</t>
  </si>
  <si>
    <t>Additional Documents</t>
  </si>
  <si>
    <t>Document Status</t>
  </si>
  <si>
    <t>Country</t>
  </si>
  <si>
    <t>Visa Category</t>
  </si>
  <si>
    <t>Embassy / VFS</t>
  </si>
  <si>
    <t>Application Number</t>
  </si>
  <si>
    <t>Appointment Date</t>
  </si>
  <si>
    <t>Biometrics Date</t>
  </si>
  <si>
    <t>Interview Date</t>
  </si>
  <si>
    <t>Submission Date</t>
  </si>
  <si>
    <t>Decision Date</t>
  </si>
  <si>
    <t>Visa Result</t>
  </si>
  <si>
    <t>Visa Validity</t>
  </si>
  <si>
    <t>Consultant Notes</t>
  </si>
  <si>
    <t>Total Consultancy Fee</t>
  </si>
  <si>
    <t>Embassy / VFS Fee</t>
  </si>
  <si>
    <t>Amount Received</t>
  </si>
  <si>
    <t>Balance Amount</t>
  </si>
  <si>
    <t>Payment Status</t>
  </si>
  <si>
    <t>Payment Mode</t>
  </si>
  <si>
    <t>Payment Date</t>
  </si>
  <si>
    <t>Receipt Number</t>
  </si>
  <si>
    <t>Follow-Up Date</t>
  </si>
  <si>
    <t>Follow-Up Type</t>
  </si>
  <si>
    <t>Purpose</t>
  </si>
  <si>
    <t>Next Action</t>
  </si>
  <si>
    <t>Next Follow-Up Date</t>
  </si>
  <si>
    <t>Status</t>
  </si>
  <si>
    <t>Consultant Name</t>
  </si>
  <si>
    <t>Total Clients</t>
  </si>
  <si>
    <t>Active Cases</t>
  </si>
  <si>
    <t>Approved Visas</t>
  </si>
  <si>
    <t>Refused Visas</t>
  </si>
  <si>
    <t>Approval Percentage</t>
  </si>
  <si>
    <t>Total Revenue Generated</t>
  </si>
  <si>
    <t>DASHBOARD - JF VISA CONSULTANCY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</si>
</sst>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0"/>
      <color rgb="FF1F4E7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9" fontId="0" fillId="0" borderId="0" xfId="0" applyNumberFormat="1"/>
    <xf numFmtId="0" fontId="3" fillId="0" borderId="0" xfId="0" applyFont="1"/>
    <xf numFmtId="0" fontId="1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C8CE"/>
        </patternFill>
      </fill>
    </dxf>
    <dxf>
      <fill>
        <patternFill>
          <bgColor rgb="FFFFC8CE"/>
        </patternFill>
      </fill>
    </dxf>
    <dxf>
      <fill>
        <patternFill>
          <bgColor rgb="FFEAEFC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5CD3-11E6-47A5-82DB-E152F77FBD45}">
  <dimension ref="A1:Q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" bestFit="1" customWidth="1"/>
    <col min="2" max="2" width="16.140625" bestFit="1" customWidth="1"/>
    <col min="3" max="3" width="21" bestFit="1" customWidth="1"/>
    <col min="4" max="4" width="13.7109375" bestFit="1" customWidth="1"/>
    <col min="5" max="5" width="16.7109375" bestFit="1" customWidth="1"/>
    <col min="6" max="6" width="10.85546875" bestFit="1" customWidth="1"/>
    <col min="7" max="7" width="15" bestFit="1" customWidth="1"/>
    <col min="8" max="8" width="18.140625" bestFit="1" customWidth="1"/>
    <col min="9" max="9" width="13.85546875" bestFit="1" customWidth="1"/>
    <col min="10" max="10" width="4.7109375" bestFit="1" customWidth="1"/>
    <col min="11" max="11" width="20" bestFit="1" customWidth="1"/>
    <col min="12" max="12" width="9.42578125" bestFit="1" customWidth="1"/>
    <col min="13" max="13" width="19.85546875" bestFit="1" customWidth="1"/>
    <col min="14" max="14" width="13.42578125" bestFit="1" customWidth="1"/>
    <col min="15" max="15" width="19.85546875" bestFit="1" customWidth="1"/>
    <col min="16" max="16" width="14.28515625" bestFit="1" customWidth="1"/>
    <col min="17" max="17" width="8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</row>
  </sheetData>
  <dataValidations count="3">
    <dataValidation type="list" allowBlank="1" showInputMessage="1" showErrorMessage="1" sqref="L2:L1000" xr:uid="{4109AAFB-A406-41FD-96D8-FAB4D8BD28D0}">
      <formula1>"USA Visit,Canada Visit,Europe Study,Europe Visit,Qatar Freelance,Saudi Freelance,UAE Freelance,Australia Visit,New Zealand Visit"</formula1>
    </dataValidation>
    <dataValidation type="list" allowBlank="1" showInputMessage="1" showErrorMessage="1" sqref="N2:N1000" xr:uid="{DAEF5E69-787E-4724-99F3-F70952FC1019}">
      <formula1>"Facebook,Walk-in,Reference,WhatsApp"</formula1>
    </dataValidation>
    <dataValidation type="list" allowBlank="1" showInputMessage="1" showErrorMessage="1" sqref="P2:P1000" xr:uid="{305F4AD9-1B09-4B41-AF01-B69759FC178A}">
      <formula1>"New,Documents Pending,Filed,Appointment Done,Under Process,Approved,Refused"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E90A-1E4D-4030-91DD-30D4EBDACDCC}">
  <dimension ref="A1:O10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" bestFit="1" customWidth="1"/>
    <col min="2" max="2" width="8.85546875" bestFit="1" customWidth="1"/>
    <col min="3" max="3" width="14.85546875" bestFit="1" customWidth="1"/>
    <col min="4" max="4" width="5.85546875" bestFit="1" customWidth="1"/>
    <col min="5" max="5" width="13.28515625" bestFit="1" customWidth="1"/>
    <col min="6" max="6" width="13.140625" bestFit="1" customWidth="1"/>
    <col min="7" max="7" width="16.7109375" bestFit="1" customWidth="1"/>
    <col min="8" max="8" width="17.85546875" bestFit="1" customWidth="1"/>
    <col min="9" max="9" width="14.42578125" bestFit="1" customWidth="1"/>
    <col min="10" max="10" width="4.7109375" bestFit="1" customWidth="1"/>
    <col min="11" max="11" width="5.28515625" bestFit="1" customWidth="1"/>
    <col min="12" max="12" width="16.28515625" bestFit="1" customWidth="1"/>
    <col min="13" max="13" width="15.5703125" bestFit="1" customWidth="1"/>
    <col min="14" max="14" width="21.42578125" bestFit="1" customWidth="1"/>
    <col min="15" max="15" width="16.7109375" bestFit="1" customWidth="1"/>
  </cols>
  <sheetData>
    <row r="1" spans="1:15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x14ac:dyDescent="0.25">
      <c r="O2" t="str">
        <f>IF(COUNTIF(B2:M2, "No")&gt;0, "Incomplete", "Complete")</f>
        <v>Complete</v>
      </c>
    </row>
    <row r="3" spans="1:15" x14ac:dyDescent="0.25">
      <c r="O3" t="str">
        <f>IF(COUNTIF(B3:M3, "No")&gt;0, "Incomplete", "Complete")</f>
        <v>Complete</v>
      </c>
    </row>
    <row r="4" spans="1:15" x14ac:dyDescent="0.25">
      <c r="O4" t="str">
        <f>IF(COUNTIF(B4:M4, "No")&gt;0, "Incomplete", "Complete")</f>
        <v>Complete</v>
      </c>
    </row>
    <row r="5" spans="1:15" x14ac:dyDescent="0.25">
      <c r="O5" t="str">
        <f>IF(COUNTIF(B5:M5, "No")&gt;0, "Incomplete", "Complete")</f>
        <v>Complete</v>
      </c>
    </row>
    <row r="6" spans="1:15" x14ac:dyDescent="0.25">
      <c r="O6" t="str">
        <f>IF(COUNTIF(B6:M6, "No")&gt;0, "Incomplete", "Complete")</f>
        <v>Complete</v>
      </c>
    </row>
    <row r="7" spans="1:15" x14ac:dyDescent="0.25">
      <c r="O7" t="str">
        <f>IF(COUNTIF(B7:M7, "No")&gt;0, "Incomplete", "Complete")</f>
        <v>Complete</v>
      </c>
    </row>
    <row r="8" spans="1:15" x14ac:dyDescent="0.25">
      <c r="O8" t="str">
        <f>IF(COUNTIF(B8:M8, "No")&gt;0, "Incomplete", "Complete")</f>
        <v>Complete</v>
      </c>
    </row>
    <row r="9" spans="1:15" x14ac:dyDescent="0.25">
      <c r="O9" t="str">
        <f>IF(COUNTIF(B9:M9, "No")&gt;0, "Incomplete", "Complete")</f>
        <v>Complete</v>
      </c>
    </row>
    <row r="10" spans="1:15" x14ac:dyDescent="0.25">
      <c r="O10" t="str">
        <f>IF(COUNTIF(B10:M10, "No")&gt;0, "Incomplete", "Complete")</f>
        <v>Complete</v>
      </c>
    </row>
    <row r="11" spans="1:15" x14ac:dyDescent="0.25">
      <c r="O11" t="str">
        <f>IF(COUNTIF(B11:M11, "No")&gt;0, "Incomplete", "Complete")</f>
        <v>Complete</v>
      </c>
    </row>
    <row r="12" spans="1:15" x14ac:dyDescent="0.25">
      <c r="O12" t="str">
        <f>IF(COUNTIF(B12:M12, "No")&gt;0, "Incomplete", "Complete")</f>
        <v>Complete</v>
      </c>
    </row>
    <row r="13" spans="1:15" x14ac:dyDescent="0.25">
      <c r="O13" t="str">
        <f>IF(COUNTIF(B13:M13, "No")&gt;0, "Incomplete", "Complete")</f>
        <v>Complete</v>
      </c>
    </row>
    <row r="14" spans="1:15" x14ac:dyDescent="0.25">
      <c r="O14" t="str">
        <f>IF(COUNTIF(B14:M14, "No")&gt;0, "Incomplete", "Complete")</f>
        <v>Complete</v>
      </c>
    </row>
    <row r="15" spans="1:15" x14ac:dyDescent="0.25">
      <c r="O15" t="str">
        <f>IF(COUNTIF(B15:M15, "No")&gt;0, "Incomplete", "Complete")</f>
        <v>Complete</v>
      </c>
    </row>
    <row r="16" spans="1:15" x14ac:dyDescent="0.25">
      <c r="O16" t="str">
        <f>IF(COUNTIF(B16:M16, "No")&gt;0, "Incomplete", "Complete")</f>
        <v>Complete</v>
      </c>
    </row>
    <row r="17" spans="15:15" x14ac:dyDescent="0.25">
      <c r="O17" t="str">
        <f>IF(COUNTIF(B17:M17, "No")&gt;0, "Incomplete", "Complete")</f>
        <v>Complete</v>
      </c>
    </row>
    <row r="18" spans="15:15" x14ac:dyDescent="0.25">
      <c r="O18" t="str">
        <f>IF(COUNTIF(B18:M18, "No")&gt;0, "Incomplete", "Complete")</f>
        <v>Complete</v>
      </c>
    </row>
    <row r="19" spans="15:15" x14ac:dyDescent="0.25">
      <c r="O19" t="str">
        <f>IF(COUNTIF(B19:M19, "No")&gt;0, "Incomplete", "Complete")</f>
        <v>Complete</v>
      </c>
    </row>
    <row r="20" spans="15:15" x14ac:dyDescent="0.25">
      <c r="O20" t="str">
        <f>IF(COUNTIF(B20:M20, "No")&gt;0, "Incomplete", "Complete")</f>
        <v>Complete</v>
      </c>
    </row>
    <row r="21" spans="15:15" x14ac:dyDescent="0.25">
      <c r="O21" t="str">
        <f>IF(COUNTIF(B21:M21, "No")&gt;0, "Incomplete", "Complete")</f>
        <v>Complete</v>
      </c>
    </row>
    <row r="22" spans="15:15" x14ac:dyDescent="0.25">
      <c r="O22" t="str">
        <f>IF(COUNTIF(B22:M22, "No")&gt;0, "Incomplete", "Complete")</f>
        <v>Complete</v>
      </c>
    </row>
    <row r="23" spans="15:15" x14ac:dyDescent="0.25">
      <c r="O23" t="str">
        <f>IF(COUNTIF(B23:M23, "No")&gt;0, "Incomplete", "Complete")</f>
        <v>Complete</v>
      </c>
    </row>
    <row r="24" spans="15:15" x14ac:dyDescent="0.25">
      <c r="O24" t="str">
        <f>IF(COUNTIF(B24:M24, "No")&gt;0, "Incomplete", "Complete")</f>
        <v>Complete</v>
      </c>
    </row>
    <row r="25" spans="15:15" x14ac:dyDescent="0.25">
      <c r="O25" t="str">
        <f>IF(COUNTIF(B25:M25, "No")&gt;0, "Incomplete", "Complete")</f>
        <v>Complete</v>
      </c>
    </row>
    <row r="26" spans="15:15" x14ac:dyDescent="0.25">
      <c r="O26" t="str">
        <f>IF(COUNTIF(B26:M26, "No")&gt;0, "Incomplete", "Complete")</f>
        <v>Complete</v>
      </c>
    </row>
    <row r="27" spans="15:15" x14ac:dyDescent="0.25">
      <c r="O27" t="str">
        <f>IF(COUNTIF(B27:M27, "No")&gt;0, "Incomplete", "Complete")</f>
        <v>Complete</v>
      </c>
    </row>
    <row r="28" spans="15:15" x14ac:dyDescent="0.25">
      <c r="O28" t="str">
        <f>IF(COUNTIF(B28:M28, "No")&gt;0, "Incomplete", "Complete")</f>
        <v>Complete</v>
      </c>
    </row>
    <row r="29" spans="15:15" x14ac:dyDescent="0.25">
      <c r="O29" t="str">
        <f>IF(COUNTIF(B29:M29, "No")&gt;0, "Incomplete", "Complete")</f>
        <v>Complete</v>
      </c>
    </row>
    <row r="30" spans="15:15" x14ac:dyDescent="0.25">
      <c r="O30" t="str">
        <f>IF(COUNTIF(B30:M30, "No")&gt;0, "Incomplete", "Complete")</f>
        <v>Complete</v>
      </c>
    </row>
    <row r="31" spans="15:15" x14ac:dyDescent="0.25">
      <c r="O31" t="str">
        <f>IF(COUNTIF(B31:M31, "No")&gt;0, "Incomplete", "Complete")</f>
        <v>Complete</v>
      </c>
    </row>
    <row r="32" spans="15:15" x14ac:dyDescent="0.25">
      <c r="O32" t="str">
        <f>IF(COUNTIF(B32:M32, "No")&gt;0, "Incomplete", "Complete")</f>
        <v>Complete</v>
      </c>
    </row>
    <row r="33" spans="15:15" x14ac:dyDescent="0.25">
      <c r="O33" t="str">
        <f>IF(COUNTIF(B33:M33, "No")&gt;0, "Incomplete", "Complete")</f>
        <v>Complete</v>
      </c>
    </row>
    <row r="34" spans="15:15" x14ac:dyDescent="0.25">
      <c r="O34" t="str">
        <f>IF(COUNTIF(B34:M34, "No")&gt;0, "Incomplete", "Complete")</f>
        <v>Complete</v>
      </c>
    </row>
    <row r="35" spans="15:15" x14ac:dyDescent="0.25">
      <c r="O35" t="str">
        <f>IF(COUNTIF(B35:M35, "No")&gt;0, "Incomplete", "Complete")</f>
        <v>Complete</v>
      </c>
    </row>
    <row r="36" spans="15:15" x14ac:dyDescent="0.25">
      <c r="O36" t="str">
        <f>IF(COUNTIF(B36:M36, "No")&gt;0, "Incomplete", "Complete")</f>
        <v>Complete</v>
      </c>
    </row>
    <row r="37" spans="15:15" x14ac:dyDescent="0.25">
      <c r="O37" t="str">
        <f>IF(COUNTIF(B37:M37, "No")&gt;0, "Incomplete", "Complete")</f>
        <v>Complete</v>
      </c>
    </row>
    <row r="38" spans="15:15" x14ac:dyDescent="0.25">
      <c r="O38" t="str">
        <f>IF(COUNTIF(B38:M38, "No")&gt;0, "Incomplete", "Complete")</f>
        <v>Complete</v>
      </c>
    </row>
    <row r="39" spans="15:15" x14ac:dyDescent="0.25">
      <c r="O39" t="str">
        <f>IF(COUNTIF(B39:M39, "No")&gt;0, "Incomplete", "Complete")</f>
        <v>Complete</v>
      </c>
    </row>
    <row r="40" spans="15:15" x14ac:dyDescent="0.25">
      <c r="O40" t="str">
        <f>IF(COUNTIF(B40:M40, "No")&gt;0, "Incomplete", "Complete")</f>
        <v>Complete</v>
      </c>
    </row>
    <row r="41" spans="15:15" x14ac:dyDescent="0.25">
      <c r="O41" t="str">
        <f>IF(COUNTIF(B41:M41, "No")&gt;0, "Incomplete", "Complete")</f>
        <v>Complete</v>
      </c>
    </row>
    <row r="42" spans="15:15" x14ac:dyDescent="0.25">
      <c r="O42" t="str">
        <f>IF(COUNTIF(B42:M42, "No")&gt;0, "Incomplete", "Complete")</f>
        <v>Complete</v>
      </c>
    </row>
    <row r="43" spans="15:15" x14ac:dyDescent="0.25">
      <c r="O43" t="str">
        <f>IF(COUNTIF(B43:M43, "No")&gt;0, "Incomplete", "Complete")</f>
        <v>Complete</v>
      </c>
    </row>
    <row r="44" spans="15:15" x14ac:dyDescent="0.25">
      <c r="O44" t="str">
        <f>IF(COUNTIF(B44:M44, "No")&gt;0, "Incomplete", "Complete")</f>
        <v>Complete</v>
      </c>
    </row>
    <row r="45" spans="15:15" x14ac:dyDescent="0.25">
      <c r="O45" t="str">
        <f>IF(COUNTIF(B45:M45, "No")&gt;0, "Incomplete", "Complete")</f>
        <v>Complete</v>
      </c>
    </row>
    <row r="46" spans="15:15" x14ac:dyDescent="0.25">
      <c r="O46" t="str">
        <f>IF(COUNTIF(B46:M46, "No")&gt;0, "Incomplete", "Complete")</f>
        <v>Complete</v>
      </c>
    </row>
    <row r="47" spans="15:15" x14ac:dyDescent="0.25">
      <c r="O47" t="str">
        <f>IF(COUNTIF(B47:M47, "No")&gt;0, "Incomplete", "Complete")</f>
        <v>Complete</v>
      </c>
    </row>
    <row r="48" spans="15:15" x14ac:dyDescent="0.25">
      <c r="O48" t="str">
        <f>IF(COUNTIF(B48:M48, "No")&gt;0, "Incomplete", "Complete")</f>
        <v>Complete</v>
      </c>
    </row>
    <row r="49" spans="15:15" x14ac:dyDescent="0.25">
      <c r="O49" t="str">
        <f>IF(COUNTIF(B49:M49, "No")&gt;0, "Incomplete", "Complete")</f>
        <v>Complete</v>
      </c>
    </row>
    <row r="50" spans="15:15" x14ac:dyDescent="0.25">
      <c r="O50" t="str">
        <f>IF(COUNTIF(B50:M50, "No")&gt;0, "Incomplete", "Complete")</f>
        <v>Complete</v>
      </c>
    </row>
    <row r="51" spans="15:15" x14ac:dyDescent="0.25">
      <c r="O51" t="str">
        <f>IF(COUNTIF(B51:M51, "No")&gt;0, "Incomplete", "Complete")</f>
        <v>Complete</v>
      </c>
    </row>
    <row r="52" spans="15:15" x14ac:dyDescent="0.25">
      <c r="O52" t="str">
        <f>IF(COUNTIF(B52:M52, "No")&gt;0, "Incomplete", "Complete")</f>
        <v>Complete</v>
      </c>
    </row>
    <row r="53" spans="15:15" x14ac:dyDescent="0.25">
      <c r="O53" t="str">
        <f>IF(COUNTIF(B53:M53, "No")&gt;0, "Incomplete", "Complete")</f>
        <v>Complete</v>
      </c>
    </row>
    <row r="54" spans="15:15" x14ac:dyDescent="0.25">
      <c r="O54" t="str">
        <f>IF(COUNTIF(B54:M54, "No")&gt;0, "Incomplete", "Complete")</f>
        <v>Complete</v>
      </c>
    </row>
    <row r="55" spans="15:15" x14ac:dyDescent="0.25">
      <c r="O55" t="str">
        <f>IF(COUNTIF(B55:M55, "No")&gt;0, "Incomplete", "Complete")</f>
        <v>Complete</v>
      </c>
    </row>
    <row r="56" spans="15:15" x14ac:dyDescent="0.25">
      <c r="O56" t="str">
        <f>IF(COUNTIF(B56:M56, "No")&gt;0, "Incomplete", "Complete")</f>
        <v>Complete</v>
      </c>
    </row>
    <row r="57" spans="15:15" x14ac:dyDescent="0.25">
      <c r="O57" t="str">
        <f>IF(COUNTIF(B57:M57, "No")&gt;0, "Incomplete", "Complete")</f>
        <v>Complete</v>
      </c>
    </row>
    <row r="58" spans="15:15" x14ac:dyDescent="0.25">
      <c r="O58" t="str">
        <f>IF(COUNTIF(B58:M58, "No")&gt;0, "Incomplete", "Complete")</f>
        <v>Complete</v>
      </c>
    </row>
    <row r="59" spans="15:15" x14ac:dyDescent="0.25">
      <c r="O59" t="str">
        <f>IF(COUNTIF(B59:M59, "No")&gt;0, "Incomplete", "Complete")</f>
        <v>Complete</v>
      </c>
    </row>
    <row r="60" spans="15:15" x14ac:dyDescent="0.25">
      <c r="O60" t="str">
        <f>IF(COUNTIF(B60:M60, "No")&gt;0, "Incomplete", "Complete")</f>
        <v>Complete</v>
      </c>
    </row>
    <row r="61" spans="15:15" x14ac:dyDescent="0.25">
      <c r="O61" t="str">
        <f>IF(COUNTIF(B61:M61, "No")&gt;0, "Incomplete", "Complete")</f>
        <v>Complete</v>
      </c>
    </row>
    <row r="62" spans="15:15" x14ac:dyDescent="0.25">
      <c r="O62" t="str">
        <f>IF(COUNTIF(B62:M62, "No")&gt;0, "Incomplete", "Complete")</f>
        <v>Complete</v>
      </c>
    </row>
    <row r="63" spans="15:15" x14ac:dyDescent="0.25">
      <c r="O63" t="str">
        <f>IF(COUNTIF(B63:M63, "No")&gt;0, "Incomplete", "Complete")</f>
        <v>Complete</v>
      </c>
    </row>
    <row r="64" spans="15:15" x14ac:dyDescent="0.25">
      <c r="O64" t="str">
        <f>IF(COUNTIF(B64:M64, "No")&gt;0, "Incomplete", "Complete")</f>
        <v>Complete</v>
      </c>
    </row>
    <row r="65" spans="15:15" x14ac:dyDescent="0.25">
      <c r="O65" t="str">
        <f>IF(COUNTIF(B65:M65, "No")&gt;0, "Incomplete", "Complete")</f>
        <v>Complete</v>
      </c>
    </row>
    <row r="66" spans="15:15" x14ac:dyDescent="0.25">
      <c r="O66" t="str">
        <f>IF(COUNTIF(B66:M66, "No")&gt;0, "Incomplete", "Complete")</f>
        <v>Complete</v>
      </c>
    </row>
    <row r="67" spans="15:15" x14ac:dyDescent="0.25">
      <c r="O67" t="str">
        <f>IF(COUNTIF(B67:M67, "No")&gt;0, "Incomplete", "Complete")</f>
        <v>Complete</v>
      </c>
    </row>
    <row r="68" spans="15:15" x14ac:dyDescent="0.25">
      <c r="O68" t="str">
        <f>IF(COUNTIF(B68:M68, "No")&gt;0, "Incomplete", "Complete")</f>
        <v>Complete</v>
      </c>
    </row>
    <row r="69" spans="15:15" x14ac:dyDescent="0.25">
      <c r="O69" t="str">
        <f>IF(COUNTIF(B69:M69, "No")&gt;0, "Incomplete", "Complete")</f>
        <v>Complete</v>
      </c>
    </row>
    <row r="70" spans="15:15" x14ac:dyDescent="0.25">
      <c r="O70" t="str">
        <f>IF(COUNTIF(B70:M70, "No")&gt;0, "Incomplete", "Complete")</f>
        <v>Complete</v>
      </c>
    </row>
    <row r="71" spans="15:15" x14ac:dyDescent="0.25">
      <c r="O71" t="str">
        <f>IF(COUNTIF(B71:M71, "No")&gt;0, "Incomplete", "Complete")</f>
        <v>Complete</v>
      </c>
    </row>
    <row r="72" spans="15:15" x14ac:dyDescent="0.25">
      <c r="O72" t="str">
        <f>IF(COUNTIF(B72:M72, "No")&gt;0, "Incomplete", "Complete")</f>
        <v>Complete</v>
      </c>
    </row>
    <row r="73" spans="15:15" x14ac:dyDescent="0.25">
      <c r="O73" t="str">
        <f>IF(COUNTIF(B73:M73, "No")&gt;0, "Incomplete", "Complete")</f>
        <v>Complete</v>
      </c>
    </row>
    <row r="74" spans="15:15" x14ac:dyDescent="0.25">
      <c r="O74" t="str">
        <f>IF(COUNTIF(B74:M74, "No")&gt;0, "Incomplete", "Complete")</f>
        <v>Complete</v>
      </c>
    </row>
    <row r="75" spans="15:15" x14ac:dyDescent="0.25">
      <c r="O75" t="str">
        <f>IF(COUNTIF(B75:M75, "No")&gt;0, "Incomplete", "Complete")</f>
        <v>Complete</v>
      </c>
    </row>
    <row r="76" spans="15:15" x14ac:dyDescent="0.25">
      <c r="O76" t="str">
        <f>IF(COUNTIF(B76:M76, "No")&gt;0, "Incomplete", "Complete")</f>
        <v>Complete</v>
      </c>
    </row>
    <row r="77" spans="15:15" x14ac:dyDescent="0.25">
      <c r="O77" t="str">
        <f>IF(COUNTIF(B77:M77, "No")&gt;0, "Incomplete", "Complete")</f>
        <v>Complete</v>
      </c>
    </row>
    <row r="78" spans="15:15" x14ac:dyDescent="0.25">
      <c r="O78" t="str">
        <f>IF(COUNTIF(B78:M78, "No")&gt;0, "Incomplete", "Complete")</f>
        <v>Complete</v>
      </c>
    </row>
    <row r="79" spans="15:15" x14ac:dyDescent="0.25">
      <c r="O79" t="str">
        <f>IF(COUNTIF(B79:M79, "No")&gt;0, "Incomplete", "Complete")</f>
        <v>Complete</v>
      </c>
    </row>
    <row r="80" spans="15:15" x14ac:dyDescent="0.25">
      <c r="O80" t="str">
        <f>IF(COUNTIF(B80:M80, "No")&gt;0, "Incomplete", "Complete")</f>
        <v>Complete</v>
      </c>
    </row>
    <row r="81" spans="15:15" x14ac:dyDescent="0.25">
      <c r="O81" t="str">
        <f>IF(COUNTIF(B81:M81, "No")&gt;0, "Incomplete", "Complete")</f>
        <v>Complete</v>
      </c>
    </row>
    <row r="82" spans="15:15" x14ac:dyDescent="0.25">
      <c r="O82" t="str">
        <f>IF(COUNTIF(B82:M82, "No")&gt;0, "Incomplete", "Complete")</f>
        <v>Complete</v>
      </c>
    </row>
    <row r="83" spans="15:15" x14ac:dyDescent="0.25">
      <c r="O83" t="str">
        <f>IF(COUNTIF(B83:M83, "No")&gt;0, "Incomplete", "Complete")</f>
        <v>Complete</v>
      </c>
    </row>
    <row r="84" spans="15:15" x14ac:dyDescent="0.25">
      <c r="O84" t="str">
        <f>IF(COUNTIF(B84:M84, "No")&gt;0, "Incomplete", "Complete")</f>
        <v>Complete</v>
      </c>
    </row>
    <row r="85" spans="15:15" x14ac:dyDescent="0.25">
      <c r="O85" t="str">
        <f>IF(COUNTIF(B85:M85, "No")&gt;0, "Incomplete", "Complete")</f>
        <v>Complete</v>
      </c>
    </row>
    <row r="86" spans="15:15" x14ac:dyDescent="0.25">
      <c r="O86" t="str">
        <f>IF(COUNTIF(B86:M86, "No")&gt;0, "Incomplete", "Complete")</f>
        <v>Complete</v>
      </c>
    </row>
    <row r="87" spans="15:15" x14ac:dyDescent="0.25">
      <c r="O87" t="str">
        <f>IF(COUNTIF(B87:M87, "No")&gt;0, "Incomplete", "Complete")</f>
        <v>Complete</v>
      </c>
    </row>
    <row r="88" spans="15:15" x14ac:dyDescent="0.25">
      <c r="O88" t="str">
        <f>IF(COUNTIF(B88:M88, "No")&gt;0, "Incomplete", "Complete")</f>
        <v>Complete</v>
      </c>
    </row>
    <row r="89" spans="15:15" x14ac:dyDescent="0.25">
      <c r="O89" t="str">
        <f>IF(COUNTIF(B89:M89, "No")&gt;0, "Incomplete", "Complete")</f>
        <v>Complete</v>
      </c>
    </row>
    <row r="90" spans="15:15" x14ac:dyDescent="0.25">
      <c r="O90" t="str">
        <f>IF(COUNTIF(B90:M90, "No")&gt;0, "Incomplete", "Complete")</f>
        <v>Complete</v>
      </c>
    </row>
    <row r="91" spans="15:15" x14ac:dyDescent="0.25">
      <c r="O91" t="str">
        <f>IF(COUNTIF(B91:M91, "No")&gt;0, "Incomplete", "Complete")</f>
        <v>Complete</v>
      </c>
    </row>
    <row r="92" spans="15:15" x14ac:dyDescent="0.25">
      <c r="O92" t="str">
        <f>IF(COUNTIF(B92:M92, "No")&gt;0, "Incomplete", "Complete")</f>
        <v>Complete</v>
      </c>
    </row>
    <row r="93" spans="15:15" x14ac:dyDescent="0.25">
      <c r="O93" t="str">
        <f>IF(COUNTIF(B93:M93, "No")&gt;0, "Incomplete", "Complete")</f>
        <v>Complete</v>
      </c>
    </row>
    <row r="94" spans="15:15" x14ac:dyDescent="0.25">
      <c r="O94" t="str">
        <f>IF(COUNTIF(B94:M94, "No")&gt;0, "Incomplete", "Complete")</f>
        <v>Complete</v>
      </c>
    </row>
    <row r="95" spans="15:15" x14ac:dyDescent="0.25">
      <c r="O95" t="str">
        <f>IF(COUNTIF(B95:M95, "No")&gt;0, "Incomplete", "Complete")</f>
        <v>Complete</v>
      </c>
    </row>
    <row r="96" spans="15:15" x14ac:dyDescent="0.25">
      <c r="O96" t="str">
        <f>IF(COUNTIF(B96:M96, "No")&gt;0, "Incomplete", "Complete")</f>
        <v>Complete</v>
      </c>
    </row>
    <row r="97" spans="15:15" x14ac:dyDescent="0.25">
      <c r="O97" t="str">
        <f>IF(COUNTIF(B97:M97, "No")&gt;0, "Incomplete", "Complete")</f>
        <v>Complete</v>
      </c>
    </row>
    <row r="98" spans="15:15" x14ac:dyDescent="0.25">
      <c r="O98" t="str">
        <f>IF(COUNTIF(B98:M98, "No")&gt;0, "Incomplete", "Complete")</f>
        <v>Complete</v>
      </c>
    </row>
    <row r="99" spans="15:15" x14ac:dyDescent="0.25">
      <c r="O99" t="str">
        <f>IF(COUNTIF(B99:M99, "No")&gt;0, "Incomplete", "Complete")</f>
        <v>Complete</v>
      </c>
    </row>
    <row r="100" spans="15:15" x14ac:dyDescent="0.25">
      <c r="O100" t="str">
        <f>IF(COUNTIF(B100:M100, "No")&gt;0, "Incomplete", "Complete")</f>
        <v>Complete</v>
      </c>
    </row>
  </sheetData>
  <conditionalFormatting sqref="O2:O100">
    <cfRule type="cellIs" dxfId="2" priority="1" stopIfTrue="1" operator="notEqual">
      <formula>"Complete"</formula>
    </cfRule>
    <cfRule type="cellIs" dxfId="1" priority="2" stopIfTrue="1" operator="notEqual">
      <formula>"Incomplete"</formula>
    </cfRule>
  </conditionalFormatting>
  <dataValidations count="1">
    <dataValidation type="list" allowBlank="1" showInputMessage="1" showErrorMessage="1" sqref="B2:B1000 C2:C1000 D2:D1000 E2:E1000 F2:F1000 G2:G1000 H2:H1000 I2:I1000 J2:J1000 K2:K1000 L2:L1000 M2:M1000" xr:uid="{B48EEE47-0E00-47C1-B682-B725EB7DFD6B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B5C2-FCDB-4E61-99CC-77FDD5C5892C}">
  <dimension ref="A1:M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" bestFit="1" customWidth="1"/>
    <col min="2" max="2" width="8.28515625" bestFit="1" customWidth="1"/>
    <col min="3" max="3" width="13.42578125" bestFit="1" customWidth="1"/>
    <col min="4" max="4" width="14" bestFit="1" customWidth="1"/>
    <col min="5" max="5" width="19.140625" bestFit="1" customWidth="1"/>
    <col min="6" max="6" width="17.7109375" bestFit="1" customWidth="1"/>
    <col min="7" max="7" width="15.5703125" bestFit="1" customWidth="1"/>
    <col min="8" max="8" width="14.28515625" bestFit="1" customWidth="1"/>
    <col min="9" max="9" width="16.42578125" bestFit="1" customWidth="1"/>
    <col min="10" max="10" width="13.85546875" bestFit="1" customWidth="1"/>
    <col min="11" max="11" width="11" bestFit="1" customWidth="1"/>
    <col min="12" max="12" width="11.85546875" bestFit="1" customWidth="1"/>
    <col min="13" max="13" width="17" bestFit="1" customWidth="1"/>
  </cols>
  <sheetData>
    <row r="1" spans="1:13" x14ac:dyDescent="0.2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</sheetData>
  <dataValidations count="1">
    <dataValidation type="list" allowBlank="1" showInputMessage="1" showErrorMessage="1" sqref="K2:K1000" xr:uid="{6F568FB6-05C0-452D-8D91-D7B93AE0B636}">
      <formula1>"Approved,Refused,Pending"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BC0B-D584-452E-8D0C-44AF2024D011}">
  <dimension ref="A1:K10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" bestFit="1" customWidth="1"/>
    <col min="2" max="2" width="9.42578125" bestFit="1" customWidth="1"/>
    <col min="3" max="3" width="21.140625" bestFit="1" customWidth="1"/>
    <col min="4" max="4" width="17.85546875" bestFit="1" customWidth="1"/>
    <col min="5" max="5" width="17" bestFit="1" customWidth="1"/>
    <col min="6" max="6" width="15.5703125" bestFit="1" customWidth="1"/>
    <col min="7" max="7" width="15.140625" bestFit="1" customWidth="1"/>
    <col min="8" max="8" width="14.42578125" bestFit="1" customWidth="1"/>
    <col min="9" max="9" width="13.7109375" bestFit="1" customWidth="1"/>
    <col min="10" max="10" width="15.85546875" bestFit="1" customWidth="1"/>
    <col min="11" max="11" width="8.85546875" bestFit="1" customWidth="1"/>
  </cols>
  <sheetData>
    <row r="1" spans="1:11" x14ac:dyDescent="0.25">
      <c r="A1" s="1" t="s">
        <v>0</v>
      </c>
      <c r="B1" s="1" t="s">
        <v>11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16</v>
      </c>
    </row>
    <row r="2" spans="1:11" x14ac:dyDescent="0.25">
      <c r="F2">
        <f>C2-E2</f>
        <v>0</v>
      </c>
      <c r="G2" t="str">
        <f>IF(C2=0, "", IF(F2&lt;=0, "Paid", IF(E2&gt;0, "Partial", "Pending")))</f>
        <v/>
      </c>
    </row>
    <row r="3" spans="1:11" x14ac:dyDescent="0.25">
      <c r="F3">
        <f>C3-E3</f>
        <v>0</v>
      </c>
      <c r="G3" t="str">
        <f>IF(C3=0, "", IF(F3&lt;=0, "Paid", IF(E3&gt;0, "Partial", "Pending")))</f>
        <v/>
      </c>
    </row>
    <row r="4" spans="1:11" x14ac:dyDescent="0.25">
      <c r="F4">
        <f>C4-E4</f>
        <v>0</v>
      </c>
      <c r="G4" t="str">
        <f>IF(C4=0, "", IF(F4&lt;=0, "Paid", IF(E4&gt;0, "Partial", "Pending")))</f>
        <v/>
      </c>
    </row>
    <row r="5" spans="1:11" x14ac:dyDescent="0.25">
      <c r="F5">
        <f>C5-E5</f>
        <v>0</v>
      </c>
      <c r="G5" t="str">
        <f>IF(C5=0, "", IF(F5&lt;=0, "Paid", IF(E5&gt;0, "Partial", "Pending")))</f>
        <v/>
      </c>
    </row>
    <row r="6" spans="1:11" x14ac:dyDescent="0.25">
      <c r="F6">
        <f>C6-E6</f>
        <v>0</v>
      </c>
      <c r="G6" t="str">
        <f>IF(C6=0, "", IF(F6&lt;=0, "Paid", IF(E6&gt;0, "Partial", "Pending")))</f>
        <v/>
      </c>
    </row>
    <row r="7" spans="1:11" x14ac:dyDescent="0.25">
      <c r="F7">
        <f>C7-E7</f>
        <v>0</v>
      </c>
      <c r="G7" t="str">
        <f>IF(C7=0, "", IF(F7&lt;=0, "Paid", IF(E7&gt;0, "Partial", "Pending")))</f>
        <v/>
      </c>
    </row>
    <row r="8" spans="1:11" x14ac:dyDescent="0.25">
      <c r="F8">
        <f>C8-E8</f>
        <v>0</v>
      </c>
      <c r="G8" t="str">
        <f>IF(C8=0, "", IF(F8&lt;=0, "Paid", IF(E8&gt;0, "Partial", "Pending")))</f>
        <v/>
      </c>
    </row>
    <row r="9" spans="1:11" x14ac:dyDescent="0.25">
      <c r="F9">
        <f>C9-E9</f>
        <v>0</v>
      </c>
      <c r="G9" t="str">
        <f>IF(C9=0, "", IF(F9&lt;=0, "Paid", IF(E9&gt;0, "Partial", "Pending")))</f>
        <v/>
      </c>
    </row>
    <row r="10" spans="1:11" x14ac:dyDescent="0.25">
      <c r="F10">
        <f>C10-E10</f>
        <v>0</v>
      </c>
      <c r="G10" t="str">
        <f>IF(C10=0, "", IF(F10&lt;=0, "Paid", IF(E10&gt;0, "Partial", "Pending")))</f>
        <v/>
      </c>
    </row>
    <row r="11" spans="1:11" x14ac:dyDescent="0.25">
      <c r="F11">
        <f>C11-E11</f>
        <v>0</v>
      </c>
      <c r="G11" t="str">
        <f>IF(C11=0, "", IF(F11&lt;=0, "Paid", IF(E11&gt;0, "Partial", "Pending")))</f>
        <v/>
      </c>
    </row>
    <row r="12" spans="1:11" x14ac:dyDescent="0.25">
      <c r="F12">
        <f>C12-E12</f>
        <v>0</v>
      </c>
      <c r="G12" t="str">
        <f>IF(C12=0, "", IF(F12&lt;=0, "Paid", IF(E12&gt;0, "Partial", "Pending")))</f>
        <v/>
      </c>
    </row>
    <row r="13" spans="1:11" x14ac:dyDescent="0.25">
      <c r="F13">
        <f>C13-E13</f>
        <v>0</v>
      </c>
      <c r="G13" t="str">
        <f>IF(C13=0, "", IF(F13&lt;=0, "Paid", IF(E13&gt;0, "Partial", "Pending")))</f>
        <v/>
      </c>
    </row>
    <row r="14" spans="1:11" x14ac:dyDescent="0.25">
      <c r="F14">
        <f>C14-E14</f>
        <v>0</v>
      </c>
      <c r="G14" t="str">
        <f>IF(C14=0, "", IF(F14&lt;=0, "Paid", IF(E14&gt;0, "Partial", "Pending")))</f>
        <v/>
      </c>
    </row>
    <row r="15" spans="1:11" x14ac:dyDescent="0.25">
      <c r="F15">
        <f>C15-E15</f>
        <v>0</v>
      </c>
      <c r="G15" t="str">
        <f>IF(C15=0, "", IF(F15&lt;=0, "Paid", IF(E15&gt;0, "Partial", "Pending")))</f>
        <v/>
      </c>
    </row>
    <row r="16" spans="1:11" x14ac:dyDescent="0.25">
      <c r="F16">
        <f>C16-E16</f>
        <v>0</v>
      </c>
      <c r="G16" t="str">
        <f>IF(C16=0, "", IF(F16&lt;=0, "Paid", IF(E16&gt;0, "Partial", "Pending")))</f>
        <v/>
      </c>
    </row>
    <row r="17" spans="6:7" x14ac:dyDescent="0.25">
      <c r="F17">
        <f>C17-E17</f>
        <v>0</v>
      </c>
      <c r="G17" t="str">
        <f>IF(C17=0, "", IF(F17&lt;=0, "Paid", IF(E17&gt;0, "Partial", "Pending")))</f>
        <v/>
      </c>
    </row>
    <row r="18" spans="6:7" x14ac:dyDescent="0.25">
      <c r="F18">
        <f>C18-E18</f>
        <v>0</v>
      </c>
      <c r="G18" t="str">
        <f>IF(C18=0, "", IF(F18&lt;=0, "Paid", IF(E18&gt;0, "Partial", "Pending")))</f>
        <v/>
      </c>
    </row>
    <row r="19" spans="6:7" x14ac:dyDescent="0.25">
      <c r="F19">
        <f>C19-E19</f>
        <v>0</v>
      </c>
      <c r="G19" t="str">
        <f>IF(C19=0, "", IF(F19&lt;=0, "Paid", IF(E19&gt;0, "Partial", "Pending")))</f>
        <v/>
      </c>
    </row>
    <row r="20" spans="6:7" x14ac:dyDescent="0.25">
      <c r="F20">
        <f>C20-E20</f>
        <v>0</v>
      </c>
      <c r="G20" t="str">
        <f>IF(C20=0, "", IF(F20&lt;=0, "Paid", IF(E20&gt;0, "Partial", "Pending")))</f>
        <v/>
      </c>
    </row>
    <row r="21" spans="6:7" x14ac:dyDescent="0.25">
      <c r="F21">
        <f>C21-E21</f>
        <v>0</v>
      </c>
      <c r="G21" t="str">
        <f>IF(C21=0, "", IF(F21&lt;=0, "Paid", IF(E21&gt;0, "Partial", "Pending")))</f>
        <v/>
      </c>
    </row>
    <row r="22" spans="6:7" x14ac:dyDescent="0.25">
      <c r="F22">
        <f>C22-E22</f>
        <v>0</v>
      </c>
      <c r="G22" t="str">
        <f>IF(C22=0, "", IF(F22&lt;=0, "Paid", IF(E22&gt;0, "Partial", "Pending")))</f>
        <v/>
      </c>
    </row>
    <row r="23" spans="6:7" x14ac:dyDescent="0.25">
      <c r="F23">
        <f>C23-E23</f>
        <v>0</v>
      </c>
      <c r="G23" t="str">
        <f>IF(C23=0, "", IF(F23&lt;=0, "Paid", IF(E23&gt;0, "Partial", "Pending")))</f>
        <v/>
      </c>
    </row>
    <row r="24" spans="6:7" x14ac:dyDescent="0.25">
      <c r="F24">
        <f>C24-E24</f>
        <v>0</v>
      </c>
      <c r="G24" t="str">
        <f>IF(C24=0, "", IF(F24&lt;=0, "Paid", IF(E24&gt;0, "Partial", "Pending")))</f>
        <v/>
      </c>
    </row>
    <row r="25" spans="6:7" x14ac:dyDescent="0.25">
      <c r="F25">
        <f>C25-E25</f>
        <v>0</v>
      </c>
      <c r="G25" t="str">
        <f>IF(C25=0, "", IF(F25&lt;=0, "Paid", IF(E25&gt;0, "Partial", "Pending")))</f>
        <v/>
      </c>
    </row>
    <row r="26" spans="6:7" x14ac:dyDescent="0.25">
      <c r="F26">
        <f>C26-E26</f>
        <v>0</v>
      </c>
      <c r="G26" t="str">
        <f>IF(C26=0, "", IF(F26&lt;=0, "Paid", IF(E26&gt;0, "Partial", "Pending")))</f>
        <v/>
      </c>
    </row>
    <row r="27" spans="6:7" x14ac:dyDescent="0.25">
      <c r="F27">
        <f>C27-E27</f>
        <v>0</v>
      </c>
      <c r="G27" t="str">
        <f>IF(C27=0, "", IF(F27&lt;=0, "Paid", IF(E27&gt;0, "Partial", "Pending")))</f>
        <v/>
      </c>
    </row>
    <row r="28" spans="6:7" x14ac:dyDescent="0.25">
      <c r="F28">
        <f>C28-E28</f>
        <v>0</v>
      </c>
      <c r="G28" t="str">
        <f>IF(C28=0, "", IF(F28&lt;=0, "Paid", IF(E28&gt;0, "Partial", "Pending")))</f>
        <v/>
      </c>
    </row>
    <row r="29" spans="6:7" x14ac:dyDescent="0.25">
      <c r="F29">
        <f>C29-E29</f>
        <v>0</v>
      </c>
      <c r="G29" t="str">
        <f>IF(C29=0, "", IF(F29&lt;=0, "Paid", IF(E29&gt;0, "Partial", "Pending")))</f>
        <v/>
      </c>
    </row>
    <row r="30" spans="6:7" x14ac:dyDescent="0.25">
      <c r="F30">
        <f>C30-E30</f>
        <v>0</v>
      </c>
      <c r="G30" t="str">
        <f>IF(C30=0, "", IF(F30&lt;=0, "Paid", IF(E30&gt;0, "Partial", "Pending")))</f>
        <v/>
      </c>
    </row>
    <row r="31" spans="6:7" x14ac:dyDescent="0.25">
      <c r="F31">
        <f>C31-E31</f>
        <v>0</v>
      </c>
      <c r="G31" t="str">
        <f>IF(C31=0, "", IF(F31&lt;=0, "Paid", IF(E31&gt;0, "Partial", "Pending")))</f>
        <v/>
      </c>
    </row>
    <row r="32" spans="6:7" x14ac:dyDescent="0.25">
      <c r="F32">
        <f>C32-E32</f>
        <v>0</v>
      </c>
      <c r="G32" t="str">
        <f>IF(C32=0, "", IF(F32&lt;=0, "Paid", IF(E32&gt;0, "Partial", "Pending")))</f>
        <v/>
      </c>
    </row>
    <row r="33" spans="6:7" x14ac:dyDescent="0.25">
      <c r="F33">
        <f>C33-E33</f>
        <v>0</v>
      </c>
      <c r="G33" t="str">
        <f>IF(C33=0, "", IF(F33&lt;=0, "Paid", IF(E33&gt;0, "Partial", "Pending")))</f>
        <v/>
      </c>
    </row>
    <row r="34" spans="6:7" x14ac:dyDescent="0.25">
      <c r="F34">
        <f>C34-E34</f>
        <v>0</v>
      </c>
      <c r="G34" t="str">
        <f>IF(C34=0, "", IF(F34&lt;=0, "Paid", IF(E34&gt;0, "Partial", "Pending")))</f>
        <v/>
      </c>
    </row>
    <row r="35" spans="6:7" x14ac:dyDescent="0.25">
      <c r="F35">
        <f>C35-E35</f>
        <v>0</v>
      </c>
      <c r="G35" t="str">
        <f>IF(C35=0, "", IF(F35&lt;=0, "Paid", IF(E35&gt;0, "Partial", "Pending")))</f>
        <v/>
      </c>
    </row>
    <row r="36" spans="6:7" x14ac:dyDescent="0.25">
      <c r="F36">
        <f>C36-E36</f>
        <v>0</v>
      </c>
      <c r="G36" t="str">
        <f>IF(C36=0, "", IF(F36&lt;=0, "Paid", IF(E36&gt;0, "Partial", "Pending")))</f>
        <v/>
      </c>
    </row>
    <row r="37" spans="6:7" x14ac:dyDescent="0.25">
      <c r="F37">
        <f>C37-E37</f>
        <v>0</v>
      </c>
      <c r="G37" t="str">
        <f>IF(C37=0, "", IF(F37&lt;=0, "Paid", IF(E37&gt;0, "Partial", "Pending")))</f>
        <v/>
      </c>
    </row>
    <row r="38" spans="6:7" x14ac:dyDescent="0.25">
      <c r="F38">
        <f>C38-E38</f>
        <v>0</v>
      </c>
      <c r="G38" t="str">
        <f>IF(C38=0, "", IF(F38&lt;=0, "Paid", IF(E38&gt;0, "Partial", "Pending")))</f>
        <v/>
      </c>
    </row>
    <row r="39" spans="6:7" x14ac:dyDescent="0.25">
      <c r="F39">
        <f>C39-E39</f>
        <v>0</v>
      </c>
      <c r="G39" t="str">
        <f>IF(C39=0, "", IF(F39&lt;=0, "Paid", IF(E39&gt;0, "Partial", "Pending")))</f>
        <v/>
      </c>
    </row>
    <row r="40" spans="6:7" x14ac:dyDescent="0.25">
      <c r="F40">
        <f>C40-E40</f>
        <v>0</v>
      </c>
      <c r="G40" t="str">
        <f>IF(C40=0, "", IF(F40&lt;=0, "Paid", IF(E40&gt;0, "Partial", "Pending")))</f>
        <v/>
      </c>
    </row>
    <row r="41" spans="6:7" x14ac:dyDescent="0.25">
      <c r="F41">
        <f>C41-E41</f>
        <v>0</v>
      </c>
      <c r="G41" t="str">
        <f>IF(C41=0, "", IF(F41&lt;=0, "Paid", IF(E41&gt;0, "Partial", "Pending")))</f>
        <v/>
      </c>
    </row>
    <row r="42" spans="6:7" x14ac:dyDescent="0.25">
      <c r="F42">
        <f>C42-E42</f>
        <v>0</v>
      </c>
      <c r="G42" t="str">
        <f>IF(C42=0, "", IF(F42&lt;=0, "Paid", IF(E42&gt;0, "Partial", "Pending")))</f>
        <v/>
      </c>
    </row>
    <row r="43" spans="6:7" x14ac:dyDescent="0.25">
      <c r="F43">
        <f>C43-E43</f>
        <v>0</v>
      </c>
      <c r="G43" t="str">
        <f>IF(C43=0, "", IF(F43&lt;=0, "Paid", IF(E43&gt;0, "Partial", "Pending")))</f>
        <v/>
      </c>
    </row>
    <row r="44" spans="6:7" x14ac:dyDescent="0.25">
      <c r="F44">
        <f>C44-E44</f>
        <v>0</v>
      </c>
      <c r="G44" t="str">
        <f>IF(C44=0, "", IF(F44&lt;=0, "Paid", IF(E44&gt;0, "Partial", "Pending")))</f>
        <v/>
      </c>
    </row>
    <row r="45" spans="6:7" x14ac:dyDescent="0.25">
      <c r="F45">
        <f>C45-E45</f>
        <v>0</v>
      </c>
      <c r="G45" t="str">
        <f>IF(C45=0, "", IF(F45&lt;=0, "Paid", IF(E45&gt;0, "Partial", "Pending")))</f>
        <v/>
      </c>
    </row>
    <row r="46" spans="6:7" x14ac:dyDescent="0.25">
      <c r="F46">
        <f>C46-E46</f>
        <v>0</v>
      </c>
      <c r="G46" t="str">
        <f>IF(C46=0, "", IF(F46&lt;=0, "Paid", IF(E46&gt;0, "Partial", "Pending")))</f>
        <v/>
      </c>
    </row>
    <row r="47" spans="6:7" x14ac:dyDescent="0.25">
      <c r="F47">
        <f>C47-E47</f>
        <v>0</v>
      </c>
      <c r="G47" t="str">
        <f>IF(C47=0, "", IF(F47&lt;=0, "Paid", IF(E47&gt;0, "Partial", "Pending")))</f>
        <v/>
      </c>
    </row>
    <row r="48" spans="6:7" x14ac:dyDescent="0.25">
      <c r="F48">
        <f>C48-E48</f>
        <v>0</v>
      </c>
      <c r="G48" t="str">
        <f>IF(C48=0, "", IF(F48&lt;=0, "Paid", IF(E48&gt;0, "Partial", "Pending")))</f>
        <v/>
      </c>
    </row>
    <row r="49" spans="6:7" x14ac:dyDescent="0.25">
      <c r="F49">
        <f>C49-E49</f>
        <v>0</v>
      </c>
      <c r="G49" t="str">
        <f>IF(C49=0, "", IF(F49&lt;=0, "Paid", IF(E49&gt;0, "Partial", "Pending")))</f>
        <v/>
      </c>
    </row>
    <row r="50" spans="6:7" x14ac:dyDescent="0.25">
      <c r="F50">
        <f>C50-E50</f>
        <v>0</v>
      </c>
      <c r="G50" t="str">
        <f>IF(C50=0, "", IF(F50&lt;=0, "Paid", IF(E50&gt;0, "Partial", "Pending")))</f>
        <v/>
      </c>
    </row>
    <row r="51" spans="6:7" x14ac:dyDescent="0.25">
      <c r="F51">
        <f>C51-E51</f>
        <v>0</v>
      </c>
      <c r="G51" t="str">
        <f>IF(C51=0, "", IF(F51&lt;=0, "Paid", IF(E51&gt;0, "Partial", "Pending")))</f>
        <v/>
      </c>
    </row>
    <row r="52" spans="6:7" x14ac:dyDescent="0.25">
      <c r="F52">
        <f>C52-E52</f>
        <v>0</v>
      </c>
      <c r="G52" t="str">
        <f>IF(C52=0, "", IF(F52&lt;=0, "Paid", IF(E52&gt;0, "Partial", "Pending")))</f>
        <v/>
      </c>
    </row>
    <row r="53" spans="6:7" x14ac:dyDescent="0.25">
      <c r="F53">
        <f>C53-E53</f>
        <v>0</v>
      </c>
      <c r="G53" t="str">
        <f>IF(C53=0, "", IF(F53&lt;=0, "Paid", IF(E53&gt;0, "Partial", "Pending")))</f>
        <v/>
      </c>
    </row>
    <row r="54" spans="6:7" x14ac:dyDescent="0.25">
      <c r="F54">
        <f>C54-E54</f>
        <v>0</v>
      </c>
      <c r="G54" t="str">
        <f>IF(C54=0, "", IF(F54&lt;=0, "Paid", IF(E54&gt;0, "Partial", "Pending")))</f>
        <v/>
      </c>
    </row>
    <row r="55" spans="6:7" x14ac:dyDescent="0.25">
      <c r="F55">
        <f>C55-E55</f>
        <v>0</v>
      </c>
      <c r="G55" t="str">
        <f>IF(C55=0, "", IF(F55&lt;=0, "Paid", IF(E55&gt;0, "Partial", "Pending")))</f>
        <v/>
      </c>
    </row>
    <row r="56" spans="6:7" x14ac:dyDescent="0.25">
      <c r="F56">
        <f>C56-E56</f>
        <v>0</v>
      </c>
      <c r="G56" t="str">
        <f>IF(C56=0, "", IF(F56&lt;=0, "Paid", IF(E56&gt;0, "Partial", "Pending")))</f>
        <v/>
      </c>
    </row>
    <row r="57" spans="6:7" x14ac:dyDescent="0.25">
      <c r="F57">
        <f>C57-E57</f>
        <v>0</v>
      </c>
      <c r="G57" t="str">
        <f>IF(C57=0, "", IF(F57&lt;=0, "Paid", IF(E57&gt;0, "Partial", "Pending")))</f>
        <v/>
      </c>
    </row>
    <row r="58" spans="6:7" x14ac:dyDescent="0.25">
      <c r="F58">
        <f>C58-E58</f>
        <v>0</v>
      </c>
      <c r="G58" t="str">
        <f>IF(C58=0, "", IF(F58&lt;=0, "Paid", IF(E58&gt;0, "Partial", "Pending")))</f>
        <v/>
      </c>
    </row>
    <row r="59" spans="6:7" x14ac:dyDescent="0.25">
      <c r="F59">
        <f>C59-E59</f>
        <v>0</v>
      </c>
      <c r="G59" t="str">
        <f>IF(C59=0, "", IF(F59&lt;=0, "Paid", IF(E59&gt;0, "Partial", "Pending")))</f>
        <v/>
      </c>
    </row>
    <row r="60" spans="6:7" x14ac:dyDescent="0.25">
      <c r="F60">
        <f>C60-E60</f>
        <v>0</v>
      </c>
      <c r="G60" t="str">
        <f>IF(C60=0, "", IF(F60&lt;=0, "Paid", IF(E60&gt;0, "Partial", "Pending")))</f>
        <v/>
      </c>
    </row>
    <row r="61" spans="6:7" x14ac:dyDescent="0.25">
      <c r="F61">
        <f>C61-E61</f>
        <v>0</v>
      </c>
      <c r="G61" t="str">
        <f>IF(C61=0, "", IF(F61&lt;=0, "Paid", IF(E61&gt;0, "Partial", "Pending")))</f>
        <v/>
      </c>
    </row>
    <row r="62" spans="6:7" x14ac:dyDescent="0.25">
      <c r="F62">
        <f>C62-E62</f>
        <v>0</v>
      </c>
      <c r="G62" t="str">
        <f>IF(C62=0, "", IF(F62&lt;=0, "Paid", IF(E62&gt;0, "Partial", "Pending")))</f>
        <v/>
      </c>
    </row>
    <row r="63" spans="6:7" x14ac:dyDescent="0.25">
      <c r="F63">
        <f>C63-E63</f>
        <v>0</v>
      </c>
      <c r="G63" t="str">
        <f>IF(C63=0, "", IF(F63&lt;=0, "Paid", IF(E63&gt;0, "Partial", "Pending")))</f>
        <v/>
      </c>
    </row>
    <row r="64" spans="6:7" x14ac:dyDescent="0.25">
      <c r="F64">
        <f>C64-E64</f>
        <v>0</v>
      </c>
      <c r="G64" t="str">
        <f>IF(C64=0, "", IF(F64&lt;=0, "Paid", IF(E64&gt;0, "Partial", "Pending")))</f>
        <v/>
      </c>
    </row>
    <row r="65" spans="6:7" x14ac:dyDescent="0.25">
      <c r="F65">
        <f>C65-E65</f>
        <v>0</v>
      </c>
      <c r="G65" t="str">
        <f>IF(C65=0, "", IF(F65&lt;=0, "Paid", IF(E65&gt;0, "Partial", "Pending")))</f>
        <v/>
      </c>
    </row>
    <row r="66" spans="6:7" x14ac:dyDescent="0.25">
      <c r="F66">
        <f>C66-E66</f>
        <v>0</v>
      </c>
      <c r="G66" t="str">
        <f>IF(C66=0, "", IF(F66&lt;=0, "Paid", IF(E66&gt;0, "Partial", "Pending")))</f>
        <v/>
      </c>
    </row>
    <row r="67" spans="6:7" x14ac:dyDescent="0.25">
      <c r="F67">
        <f>C67-E67</f>
        <v>0</v>
      </c>
      <c r="G67" t="str">
        <f>IF(C67=0, "", IF(F67&lt;=0, "Paid", IF(E67&gt;0, "Partial", "Pending")))</f>
        <v/>
      </c>
    </row>
    <row r="68" spans="6:7" x14ac:dyDescent="0.25">
      <c r="F68">
        <f>C68-E68</f>
        <v>0</v>
      </c>
      <c r="G68" t="str">
        <f>IF(C68=0, "", IF(F68&lt;=0, "Paid", IF(E68&gt;0, "Partial", "Pending")))</f>
        <v/>
      </c>
    </row>
    <row r="69" spans="6:7" x14ac:dyDescent="0.25">
      <c r="F69">
        <f>C69-E69</f>
        <v>0</v>
      </c>
      <c r="G69" t="str">
        <f>IF(C69=0, "", IF(F69&lt;=0, "Paid", IF(E69&gt;0, "Partial", "Pending")))</f>
        <v/>
      </c>
    </row>
    <row r="70" spans="6:7" x14ac:dyDescent="0.25">
      <c r="F70">
        <f>C70-E70</f>
        <v>0</v>
      </c>
      <c r="G70" t="str">
        <f>IF(C70=0, "", IF(F70&lt;=0, "Paid", IF(E70&gt;0, "Partial", "Pending")))</f>
        <v/>
      </c>
    </row>
    <row r="71" spans="6:7" x14ac:dyDescent="0.25">
      <c r="F71">
        <f>C71-E71</f>
        <v>0</v>
      </c>
      <c r="G71" t="str">
        <f>IF(C71=0, "", IF(F71&lt;=0, "Paid", IF(E71&gt;0, "Partial", "Pending")))</f>
        <v/>
      </c>
    </row>
    <row r="72" spans="6:7" x14ac:dyDescent="0.25">
      <c r="F72">
        <f>C72-E72</f>
        <v>0</v>
      </c>
      <c r="G72" t="str">
        <f>IF(C72=0, "", IF(F72&lt;=0, "Paid", IF(E72&gt;0, "Partial", "Pending")))</f>
        <v/>
      </c>
    </row>
    <row r="73" spans="6:7" x14ac:dyDescent="0.25">
      <c r="F73">
        <f>C73-E73</f>
        <v>0</v>
      </c>
      <c r="G73" t="str">
        <f>IF(C73=0, "", IF(F73&lt;=0, "Paid", IF(E73&gt;0, "Partial", "Pending")))</f>
        <v/>
      </c>
    </row>
    <row r="74" spans="6:7" x14ac:dyDescent="0.25">
      <c r="F74">
        <f>C74-E74</f>
        <v>0</v>
      </c>
      <c r="G74" t="str">
        <f>IF(C74=0, "", IF(F74&lt;=0, "Paid", IF(E74&gt;0, "Partial", "Pending")))</f>
        <v/>
      </c>
    </row>
    <row r="75" spans="6:7" x14ac:dyDescent="0.25">
      <c r="F75">
        <f>C75-E75</f>
        <v>0</v>
      </c>
      <c r="G75" t="str">
        <f>IF(C75=0, "", IF(F75&lt;=0, "Paid", IF(E75&gt;0, "Partial", "Pending")))</f>
        <v/>
      </c>
    </row>
    <row r="76" spans="6:7" x14ac:dyDescent="0.25">
      <c r="F76">
        <f>C76-E76</f>
        <v>0</v>
      </c>
      <c r="G76" t="str">
        <f>IF(C76=0, "", IF(F76&lt;=0, "Paid", IF(E76&gt;0, "Partial", "Pending")))</f>
        <v/>
      </c>
    </row>
    <row r="77" spans="6:7" x14ac:dyDescent="0.25">
      <c r="F77">
        <f>C77-E77</f>
        <v>0</v>
      </c>
      <c r="G77" t="str">
        <f>IF(C77=0, "", IF(F77&lt;=0, "Paid", IF(E77&gt;0, "Partial", "Pending")))</f>
        <v/>
      </c>
    </row>
    <row r="78" spans="6:7" x14ac:dyDescent="0.25">
      <c r="F78">
        <f>C78-E78</f>
        <v>0</v>
      </c>
      <c r="G78" t="str">
        <f>IF(C78=0, "", IF(F78&lt;=0, "Paid", IF(E78&gt;0, "Partial", "Pending")))</f>
        <v/>
      </c>
    </row>
    <row r="79" spans="6:7" x14ac:dyDescent="0.25">
      <c r="F79">
        <f>C79-E79</f>
        <v>0</v>
      </c>
      <c r="G79" t="str">
        <f>IF(C79=0, "", IF(F79&lt;=0, "Paid", IF(E79&gt;0, "Partial", "Pending")))</f>
        <v/>
      </c>
    </row>
    <row r="80" spans="6:7" x14ac:dyDescent="0.25">
      <c r="F80">
        <f>C80-E80</f>
        <v>0</v>
      </c>
      <c r="G80" t="str">
        <f>IF(C80=0, "", IF(F80&lt;=0, "Paid", IF(E80&gt;0, "Partial", "Pending")))</f>
        <v/>
      </c>
    </row>
    <row r="81" spans="6:7" x14ac:dyDescent="0.25">
      <c r="F81">
        <f>C81-E81</f>
        <v>0</v>
      </c>
      <c r="G81" t="str">
        <f>IF(C81=0, "", IF(F81&lt;=0, "Paid", IF(E81&gt;0, "Partial", "Pending")))</f>
        <v/>
      </c>
    </row>
    <row r="82" spans="6:7" x14ac:dyDescent="0.25">
      <c r="F82">
        <f>C82-E82</f>
        <v>0</v>
      </c>
      <c r="G82" t="str">
        <f>IF(C82=0, "", IF(F82&lt;=0, "Paid", IF(E82&gt;0, "Partial", "Pending")))</f>
        <v/>
      </c>
    </row>
    <row r="83" spans="6:7" x14ac:dyDescent="0.25">
      <c r="F83">
        <f>C83-E83</f>
        <v>0</v>
      </c>
      <c r="G83" t="str">
        <f>IF(C83=0, "", IF(F83&lt;=0, "Paid", IF(E83&gt;0, "Partial", "Pending")))</f>
        <v/>
      </c>
    </row>
    <row r="84" spans="6:7" x14ac:dyDescent="0.25">
      <c r="F84">
        <f>C84-E84</f>
        <v>0</v>
      </c>
      <c r="G84" t="str">
        <f>IF(C84=0, "", IF(F84&lt;=0, "Paid", IF(E84&gt;0, "Partial", "Pending")))</f>
        <v/>
      </c>
    </row>
    <row r="85" spans="6:7" x14ac:dyDescent="0.25">
      <c r="F85">
        <f>C85-E85</f>
        <v>0</v>
      </c>
      <c r="G85" t="str">
        <f>IF(C85=0, "", IF(F85&lt;=0, "Paid", IF(E85&gt;0, "Partial", "Pending")))</f>
        <v/>
      </c>
    </row>
    <row r="86" spans="6:7" x14ac:dyDescent="0.25">
      <c r="F86">
        <f>C86-E86</f>
        <v>0</v>
      </c>
      <c r="G86" t="str">
        <f>IF(C86=0, "", IF(F86&lt;=0, "Paid", IF(E86&gt;0, "Partial", "Pending")))</f>
        <v/>
      </c>
    </row>
    <row r="87" spans="6:7" x14ac:dyDescent="0.25">
      <c r="F87">
        <f>C87-E87</f>
        <v>0</v>
      </c>
      <c r="G87" t="str">
        <f>IF(C87=0, "", IF(F87&lt;=0, "Paid", IF(E87&gt;0, "Partial", "Pending")))</f>
        <v/>
      </c>
    </row>
    <row r="88" spans="6:7" x14ac:dyDescent="0.25">
      <c r="F88">
        <f>C88-E88</f>
        <v>0</v>
      </c>
      <c r="G88" t="str">
        <f>IF(C88=0, "", IF(F88&lt;=0, "Paid", IF(E88&gt;0, "Partial", "Pending")))</f>
        <v/>
      </c>
    </row>
    <row r="89" spans="6:7" x14ac:dyDescent="0.25">
      <c r="F89">
        <f>C89-E89</f>
        <v>0</v>
      </c>
      <c r="G89" t="str">
        <f>IF(C89=0, "", IF(F89&lt;=0, "Paid", IF(E89&gt;0, "Partial", "Pending")))</f>
        <v/>
      </c>
    </row>
    <row r="90" spans="6:7" x14ac:dyDescent="0.25">
      <c r="F90">
        <f>C90-E90</f>
        <v>0</v>
      </c>
      <c r="G90" t="str">
        <f>IF(C90=0, "", IF(F90&lt;=0, "Paid", IF(E90&gt;0, "Partial", "Pending")))</f>
        <v/>
      </c>
    </row>
    <row r="91" spans="6:7" x14ac:dyDescent="0.25">
      <c r="F91">
        <f>C91-E91</f>
        <v>0</v>
      </c>
      <c r="G91" t="str">
        <f>IF(C91=0, "", IF(F91&lt;=0, "Paid", IF(E91&gt;0, "Partial", "Pending")))</f>
        <v/>
      </c>
    </row>
    <row r="92" spans="6:7" x14ac:dyDescent="0.25">
      <c r="F92">
        <f>C92-E92</f>
        <v>0</v>
      </c>
      <c r="G92" t="str">
        <f>IF(C92=0, "", IF(F92&lt;=0, "Paid", IF(E92&gt;0, "Partial", "Pending")))</f>
        <v/>
      </c>
    </row>
    <row r="93" spans="6:7" x14ac:dyDescent="0.25">
      <c r="F93">
        <f>C93-E93</f>
        <v>0</v>
      </c>
      <c r="G93" t="str">
        <f>IF(C93=0, "", IF(F93&lt;=0, "Paid", IF(E93&gt;0, "Partial", "Pending")))</f>
        <v/>
      </c>
    </row>
    <row r="94" spans="6:7" x14ac:dyDescent="0.25">
      <c r="F94">
        <f>C94-E94</f>
        <v>0</v>
      </c>
      <c r="G94" t="str">
        <f>IF(C94=0, "", IF(F94&lt;=0, "Paid", IF(E94&gt;0, "Partial", "Pending")))</f>
        <v/>
      </c>
    </row>
    <row r="95" spans="6:7" x14ac:dyDescent="0.25">
      <c r="F95">
        <f>C95-E95</f>
        <v>0</v>
      </c>
      <c r="G95" t="str">
        <f>IF(C95=0, "", IF(F95&lt;=0, "Paid", IF(E95&gt;0, "Partial", "Pending")))</f>
        <v/>
      </c>
    </row>
    <row r="96" spans="6:7" x14ac:dyDescent="0.25">
      <c r="F96">
        <f>C96-E96</f>
        <v>0</v>
      </c>
      <c r="G96" t="str">
        <f>IF(C96=0, "", IF(F96&lt;=0, "Paid", IF(E96&gt;0, "Partial", "Pending")))</f>
        <v/>
      </c>
    </row>
    <row r="97" spans="6:7" x14ac:dyDescent="0.25">
      <c r="F97">
        <f>C97-E97</f>
        <v>0</v>
      </c>
      <c r="G97" t="str">
        <f>IF(C97=0, "", IF(F97&lt;=0, "Paid", IF(E97&gt;0, "Partial", "Pending")))</f>
        <v/>
      </c>
    </row>
    <row r="98" spans="6:7" x14ac:dyDescent="0.25">
      <c r="F98">
        <f>C98-E98</f>
        <v>0</v>
      </c>
      <c r="G98" t="str">
        <f>IF(C98=0, "", IF(F98&lt;=0, "Paid", IF(E98&gt;0, "Partial", "Pending")))</f>
        <v/>
      </c>
    </row>
    <row r="99" spans="6:7" x14ac:dyDescent="0.25">
      <c r="F99">
        <f>C99-E99</f>
        <v>0</v>
      </c>
      <c r="G99" t="str">
        <f>IF(C99=0, "", IF(F99&lt;=0, "Paid", IF(E99&gt;0, "Partial", "Pending")))</f>
        <v/>
      </c>
    </row>
    <row r="100" spans="6:7" x14ac:dyDescent="0.25">
      <c r="F100">
        <f>C100-E100</f>
        <v>0</v>
      </c>
      <c r="G100" t="str">
        <f>IF(C100=0, "", IF(F100&lt;=0, "Paid", IF(E100&gt;0, "Partial", "Pending")))</f>
        <v/>
      </c>
    </row>
  </sheetData>
  <dataValidations count="1">
    <dataValidation type="list" allowBlank="1" showInputMessage="1" showErrorMessage="1" sqref="H2:H1000" xr:uid="{F3846E37-3178-4E7C-89EF-3A6AB82379B1}">
      <formula1>"Cash,Bank,Online"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9130-52FC-44A2-99C3-5AC69BACBDBF}">
  <dimension ref="A1:G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" bestFit="1" customWidth="1"/>
    <col min="2" max="3" width="14.85546875" bestFit="1" customWidth="1"/>
    <col min="4" max="4" width="8.42578125" bestFit="1" customWidth="1"/>
    <col min="5" max="5" width="11.42578125" bestFit="1" customWidth="1"/>
    <col min="6" max="6" width="19.7109375" bestFit="1" customWidth="1"/>
    <col min="7" max="7" width="6.7109375" bestFit="1" customWidth="1"/>
  </cols>
  <sheetData>
    <row r="1" spans="1:7" x14ac:dyDescent="0.25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</sheetData>
  <conditionalFormatting sqref="B2:B1000">
    <cfRule type="expression" dxfId="0" priority="1" stopIfTrue="1">
      <formula>AND(G2="Pending", B2&lt;TODAY())</formula>
    </cfRule>
  </conditionalFormatting>
  <dataValidations count="2">
    <dataValidation type="list" allowBlank="1" showInputMessage="1" showErrorMessage="1" sqref="C2:C1000" xr:uid="{C3A2D689-D864-43B7-A533-75BB1161C398}">
      <formula1>"Call,WhatsApp,Visit"</formula1>
    </dataValidation>
    <dataValidation type="list" allowBlank="1" showInputMessage="1" showErrorMessage="1" sqref="G2:G1000" xr:uid="{11B37D47-C9E8-4A94-B6F6-D07B11D88187}">
      <formula1>"Pending,Done"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0026-39B0-4EAD-8A2A-2FC971DE5DDA}">
  <dimension ref="A1:G1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85546875" bestFit="1" customWidth="1"/>
    <col min="2" max="2" width="12.42578125" bestFit="1" customWidth="1"/>
    <col min="3" max="3" width="12.5703125" bestFit="1" customWidth="1"/>
    <col min="4" max="4" width="14.85546875" bestFit="1" customWidth="1"/>
    <col min="5" max="5" width="13.85546875" bestFit="1" customWidth="1"/>
    <col min="6" max="6" width="19.7109375" bestFit="1" customWidth="1"/>
    <col min="7" max="7" width="24.28515625" bestFit="1" customWidth="1"/>
  </cols>
  <sheetData>
    <row r="1" spans="1:7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25">
      <c r="B2">
        <f>COUNTIF(Clients!M:M, A2)</f>
        <v>0</v>
      </c>
      <c r="C2">
        <f>COUNTIFS(Clients!M:M, A2, Clients!P:P, "&lt;&gt;Approved", Clients!P:P, "&lt;&gt;Refused")</f>
        <v>0</v>
      </c>
      <c r="D2">
        <f>COUNTIFS(Clients!M:M, A2, Clients!P:P, "Approved")</f>
        <v>0</v>
      </c>
      <c r="E2">
        <f>COUNTIFS(Clients!M:M, A2, Clients!P:P, "Refused")</f>
        <v>0</v>
      </c>
      <c r="F2" s="2">
        <f>IF(B2&gt;0, D2/B2, 0)</f>
        <v>0</v>
      </c>
    </row>
    <row r="3" spans="1:7" x14ac:dyDescent="0.25">
      <c r="B3">
        <f>COUNTIF(Clients!M:M, A3)</f>
        <v>0</v>
      </c>
      <c r="C3">
        <f>COUNTIFS(Clients!M:M, A3, Clients!P:P, "&lt;&gt;Approved", Clients!P:P, "&lt;&gt;Refused")</f>
        <v>0</v>
      </c>
      <c r="D3">
        <f>COUNTIFS(Clients!M:M, A3, Clients!P:P, "Approved")</f>
        <v>0</v>
      </c>
      <c r="E3">
        <f>COUNTIFS(Clients!M:M, A3, Clients!P:P, "Refused")</f>
        <v>0</v>
      </c>
      <c r="F3" s="2">
        <f>IF(B3&gt;0, D3/B3, 0)</f>
        <v>0</v>
      </c>
    </row>
    <row r="4" spans="1:7" x14ac:dyDescent="0.25">
      <c r="B4">
        <f>COUNTIF(Clients!M:M, A4)</f>
        <v>0</v>
      </c>
      <c r="C4">
        <f>COUNTIFS(Clients!M:M, A4, Clients!P:P, "&lt;&gt;Approved", Clients!P:P, "&lt;&gt;Refused")</f>
        <v>0</v>
      </c>
      <c r="D4">
        <f>COUNTIFS(Clients!M:M, A4, Clients!P:P, "Approved")</f>
        <v>0</v>
      </c>
      <c r="E4">
        <f>COUNTIFS(Clients!M:M, A4, Clients!P:P, "Refused")</f>
        <v>0</v>
      </c>
      <c r="F4" s="2">
        <f>IF(B4&gt;0, D4/B4, 0)</f>
        <v>0</v>
      </c>
    </row>
    <row r="5" spans="1:7" x14ac:dyDescent="0.25">
      <c r="B5">
        <f>COUNTIF(Clients!M:M, A5)</f>
        <v>0</v>
      </c>
      <c r="C5">
        <f>COUNTIFS(Clients!M:M, A5, Clients!P:P, "&lt;&gt;Approved", Clients!P:P, "&lt;&gt;Refused")</f>
        <v>0</v>
      </c>
      <c r="D5">
        <f>COUNTIFS(Clients!M:M, A5, Clients!P:P, "Approved")</f>
        <v>0</v>
      </c>
      <c r="E5">
        <f>COUNTIFS(Clients!M:M, A5, Clients!P:P, "Refused")</f>
        <v>0</v>
      </c>
      <c r="F5" s="2">
        <f>IF(B5&gt;0, D5/B5, 0)</f>
        <v>0</v>
      </c>
    </row>
    <row r="6" spans="1:7" x14ac:dyDescent="0.25">
      <c r="B6">
        <f>COUNTIF(Clients!M:M, A6)</f>
        <v>0</v>
      </c>
      <c r="C6">
        <f>COUNTIFS(Clients!M:M, A6, Clients!P:P, "&lt;&gt;Approved", Clients!P:P, "&lt;&gt;Refused")</f>
        <v>0</v>
      </c>
      <c r="D6">
        <f>COUNTIFS(Clients!M:M, A6, Clients!P:P, "Approved")</f>
        <v>0</v>
      </c>
      <c r="E6">
        <f>COUNTIFS(Clients!M:M, A6, Clients!P:P, "Refused")</f>
        <v>0</v>
      </c>
      <c r="F6" s="2">
        <f>IF(B6&gt;0, D6/B6, 0)</f>
        <v>0</v>
      </c>
    </row>
    <row r="7" spans="1:7" x14ac:dyDescent="0.25">
      <c r="B7">
        <f>COUNTIF(Clients!M:M, A7)</f>
        <v>0</v>
      </c>
      <c r="C7">
        <f>COUNTIFS(Clients!M:M, A7, Clients!P:P, "&lt;&gt;Approved", Clients!P:P, "&lt;&gt;Refused")</f>
        <v>0</v>
      </c>
      <c r="D7">
        <f>COUNTIFS(Clients!M:M, A7, Clients!P:P, "Approved")</f>
        <v>0</v>
      </c>
      <c r="E7">
        <f>COUNTIFS(Clients!M:M, A7, Clients!P:P, "Refused")</f>
        <v>0</v>
      </c>
      <c r="F7" s="2">
        <f>IF(B7&gt;0, D7/B7, 0)</f>
        <v>0</v>
      </c>
    </row>
    <row r="8" spans="1:7" x14ac:dyDescent="0.25">
      <c r="B8">
        <f>COUNTIF(Clients!M:M, A8)</f>
        <v>0</v>
      </c>
      <c r="C8">
        <f>COUNTIFS(Clients!M:M, A8, Clients!P:P, "&lt;&gt;Approved", Clients!P:P, "&lt;&gt;Refused")</f>
        <v>0</v>
      </c>
      <c r="D8">
        <f>COUNTIFS(Clients!M:M, A8, Clients!P:P, "Approved")</f>
        <v>0</v>
      </c>
      <c r="E8">
        <f>COUNTIFS(Clients!M:M, A8, Clients!P:P, "Refused")</f>
        <v>0</v>
      </c>
      <c r="F8" s="2">
        <f>IF(B8&gt;0, D8/B8, 0)</f>
        <v>0</v>
      </c>
    </row>
    <row r="9" spans="1:7" x14ac:dyDescent="0.25">
      <c r="B9">
        <f>COUNTIF(Clients!M:M, A9)</f>
        <v>0</v>
      </c>
      <c r="C9">
        <f>COUNTIFS(Clients!M:M, A9, Clients!P:P, "&lt;&gt;Approved", Clients!P:P, "&lt;&gt;Refused")</f>
        <v>0</v>
      </c>
      <c r="D9">
        <f>COUNTIFS(Clients!M:M, A9, Clients!P:P, "Approved")</f>
        <v>0</v>
      </c>
      <c r="E9">
        <f>COUNTIFS(Clients!M:M, A9, Clients!P:P, "Refused")</f>
        <v>0</v>
      </c>
      <c r="F9" s="2">
        <f>IF(B9&gt;0, D9/B9, 0)</f>
        <v>0</v>
      </c>
    </row>
    <row r="10" spans="1:7" x14ac:dyDescent="0.25">
      <c r="B10">
        <f>COUNTIF(Clients!M:M, A10)</f>
        <v>0</v>
      </c>
      <c r="C10">
        <f>COUNTIFS(Clients!M:M, A10, Clients!P:P, "&lt;&gt;Approved", Clients!P:P, "&lt;&gt;Refused")</f>
        <v>0</v>
      </c>
      <c r="D10">
        <f>COUNTIFS(Clients!M:M, A10, Clients!P:P, "Approved")</f>
        <v>0</v>
      </c>
      <c r="E10">
        <f>COUNTIFS(Clients!M:M, A10, Clients!P:P, "Refused")</f>
        <v>0</v>
      </c>
      <c r="F10" s="2">
        <f>IF(B10&gt;0, D10/B10, 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0F1D-26D5-4D55-84FB-53BDF3C02F3F}">
  <dimension ref="B2:H5"/>
  <sheetViews>
    <sheetView showGridLines="0" tabSelected="1" workbookViewId="0"/>
  </sheetViews>
  <sheetFormatPr defaultRowHeight="15" x14ac:dyDescent="0.25"/>
  <sheetData>
    <row r="2" spans="2:8" ht="26.25" x14ac:dyDescent="0.4">
      <c r="B2" s="3" t="s">
        <v>65</v>
      </c>
    </row>
    <row r="4" spans="2:8" x14ac:dyDescent="0.25">
      <c r="B4" s="4" t="s">
        <v>59</v>
      </c>
      <c r="D4" s="4" t="s">
        <v>60</v>
      </c>
      <c r="F4" s="4" t="s">
        <v>61</v>
      </c>
      <c r="H4" s="4" t="s">
        <v>62</v>
      </c>
    </row>
    <row r="5" spans="2:8" ht="18.75" x14ac:dyDescent="0.3">
      <c r="B5" s="5">
        <f>COUNTA(Clients!A:A)-1</f>
        <v>1</v>
      </c>
      <c r="D5" s="5">
        <f>COUNTIF(Clients!P:P, "Under Process")</f>
        <v>0</v>
      </c>
      <c r="F5" s="5">
        <f>COUNTIF(Clients!P:P, "Approved")</f>
        <v>0</v>
      </c>
      <c r="H5" s="5">
        <f>COUNTIF(Clients!P:P, "Refused")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Clients</vt:lpstr>
      <vt:lpstr>Documents</vt:lpstr>
      <vt:lpstr>Visa_Process</vt:lpstr>
      <vt:lpstr>Payments</vt:lpstr>
      <vt:lpstr>Follow_Up</vt:lpstr>
      <vt:lpstr>Consultants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Computer</dc:creator>
  <cp:lastModifiedBy>A S Computer</cp:lastModifiedBy>
  <dcterms:created xsi:type="dcterms:W3CDTF">2026-01-31T10:21:04Z</dcterms:created>
  <dcterms:modified xsi:type="dcterms:W3CDTF">2026-01-31T10:21:15Z</dcterms:modified>
</cp:coreProperties>
</file>